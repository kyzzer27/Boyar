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2183AF90-136E-AF40-BC96-78082CDCBAFA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Combined 5-Year" sheetId="1" r:id="rId1"/>
    <sheet name="Year 1 (FY2026)" sheetId="2" r:id="rId2"/>
    <sheet name="Year 2 (FY2027)" sheetId="3" r:id="rId3"/>
    <sheet name="Year 3 (FY2028)" sheetId="4" r:id="rId4"/>
    <sheet name="Year 4 (FY2029)" sheetId="5" r:id="rId5"/>
    <sheet name="Year 5 (FY2030)" sheetId="6" r:id="rId6"/>
    <sheet name="Banking Projection" sheetId="7" r:id="rId7"/>
    <sheet name="Licensing Projection" sheetId="8" r:id="rId8"/>
  </sheets>
  <calcPr calcId="0" iterateDelta="1E-4"/>
</workbook>
</file>

<file path=xl/sharedStrings.xml><?xml version="1.0" encoding="utf-8"?>
<sst xmlns="http://schemas.openxmlformats.org/spreadsheetml/2006/main" count="236" uniqueCount="100">
  <si>
    <t>BOYAR PARTNERS — 5-Year Corporate Services Revenue Projection</t>
  </si>
  <si>
    <t>All amounts in USD  |  INR Rate: ₹90.44  |  5-Year Total: $1,851,890  |  CAGR: 56.7%</t>
  </si>
  <si>
    <t>Year</t>
  </si>
  <si>
    <t>Fiscal</t>
  </si>
  <si>
    <t>Total (USD)</t>
  </si>
  <si>
    <t>New Revenue</t>
  </si>
  <si>
    <t>Renewal Rev</t>
  </si>
  <si>
    <t>Renewals</t>
  </si>
  <si>
    <t>Growth %</t>
  </si>
  <si>
    <t>Cumulative</t>
  </si>
  <si>
    <t>Year 1</t>
  </si>
  <si>
    <t>FY2026</t>
  </si>
  <si>
    <t>—</t>
  </si>
  <si>
    <t>Year 2</t>
  </si>
  <si>
    <t>FY2027</t>
  </si>
  <si>
    <t>91.9%</t>
  </si>
  <si>
    <t>Year 3</t>
  </si>
  <si>
    <t>FY2028</t>
  </si>
  <si>
    <t>48.3%</t>
  </si>
  <si>
    <t>Year 4</t>
  </si>
  <si>
    <t>FY2029</t>
  </si>
  <si>
    <t>71.1%</t>
  </si>
  <si>
    <t>Year 5</t>
  </si>
  <si>
    <t>FY2030</t>
  </si>
  <si>
    <t>24.6%</t>
  </si>
  <si>
    <t>5-YEAR TOTAL</t>
  </si>
  <si>
    <t>5-YEAR (INR)</t>
  </si>
  <si>
    <t>BOYAR PARTNERS — Year 1 (FY2026) Revenue Projection</t>
  </si>
  <si>
    <t>All amounts in USD  |  INR Rate: ₹90.44  |  Total: $110,900  |  Growth: N/A (Base Year)</t>
  </si>
  <si>
    <t>Service Type</t>
  </si>
  <si>
    <t>Clients</t>
  </si>
  <si>
    <t>Unit (USD)</t>
  </si>
  <si>
    <t>Company Formation</t>
  </si>
  <si>
    <t>Standalone Trust</t>
  </si>
  <si>
    <t>Full Structure</t>
  </si>
  <si>
    <t>Corporate Services</t>
  </si>
  <si>
    <t>Office Registration</t>
  </si>
  <si>
    <t>Banking</t>
  </si>
  <si>
    <t>TOTAL (USD)</t>
  </si>
  <si>
    <t>TOTAL (INR)</t>
  </si>
  <si>
    <t>Key Metrics</t>
  </si>
  <si>
    <t>Total Revenue (USD)</t>
  </si>
  <si>
    <t>Total Revenue (INR)</t>
  </si>
  <si>
    <t>Total Clients</t>
  </si>
  <si>
    <t>Avg Revenue/Client (USD)</t>
  </si>
  <si>
    <t>BOYAR PARTNERS — Year 2 (FY2027) Revenue Projection</t>
  </si>
  <si>
    <t>All amounts in USD  |  INR Rate: ₹90.44  |  Total: $212,780  |  Growth vs Y1: 91.9%</t>
  </si>
  <si>
    <t>BOYAR PARTNERS — Year 3 (FY2028) Revenue Projection</t>
  </si>
  <si>
    <t>All amounts in USD  |  INR Rate: ₹90.44  |  Total: $315,500  |  Growth vs Y2: 48.3%</t>
  </si>
  <si>
    <t>BOYAR PARTNERS — Year 4 (FY2029) Revenue Projection</t>
  </si>
  <si>
    <t>All amounts in USD  |  INR Rate: ₹90.44  |  Total: $539,970  |  Growth vs Y3: 71.1%</t>
  </si>
  <si>
    <t>BOYAR PARTNERS — Year 5 (FY2030) Revenue Projection</t>
  </si>
  <si>
    <t>All amounts in USD  |  INR Rate: ₹90.44  |  Total: $672,740  |  Growth vs Y4: 24.6%</t>
  </si>
  <si>
    <t>BOYAR PARTNERS — Banking / EMI Commission Revenue Projection</t>
  </si>
  <si>
    <t>EMI referral commission model — 5 client tiers by risk profile</t>
  </si>
  <si>
    <t>Client Tier</t>
  </si>
  <si>
    <t>Risk Level</t>
  </si>
  <si>
    <t>Annual Volume ($)</t>
  </si>
  <si>
    <t>Commission (bps)</t>
  </si>
  <si>
    <t>Annual Commission ($)</t>
  </si>
  <si>
    <t>Small fintech / SaaS</t>
  </si>
  <si>
    <t>LOW</t>
  </si>
  <si>
    <t>Mid-tier corporate</t>
  </si>
  <si>
    <t>LOW-MED</t>
  </si>
  <si>
    <t>Forex broker</t>
  </si>
  <si>
    <t>HIGH</t>
  </si>
  <si>
    <t>iGaming operator</t>
  </si>
  <si>
    <t>VERY HIGH</t>
  </si>
  <si>
    <t>Crypto / VASP</t>
  </si>
  <si>
    <t>TOTAL</t>
  </si>
  <si>
    <t>Portfolio Scenarios</t>
  </si>
  <si>
    <t>Portfolio</t>
  </si>
  <si>
    <t>Total Annual ($)</t>
  </si>
  <si>
    <t>A: SaaS-heavy</t>
  </si>
  <si>
    <t>B: Balanced</t>
  </si>
  <si>
    <t>C: High-risk weighted</t>
  </si>
  <si>
    <t>Tier</t>
  </si>
  <si>
    <t>BPS</t>
  </si>
  <si>
    <t>Annual ($)</t>
  </si>
  <si>
    <t>BOYAR PARTNERS — Licensing Revenue Projection (5-Year)</t>
  </si>
  <si>
    <t>Blended Fee: $17,400  |  Blended Renewal: $5,800  |  5-Year Cumulative: $278,400</t>
  </si>
  <si>
    <t>Licensing Tier Breakdown</t>
  </si>
  <si>
    <t>Proposals</t>
  </si>
  <si>
    <t>Weight</t>
  </si>
  <si>
    <t>Fee ($)</t>
  </si>
  <si>
    <t>Renewal ($)</t>
  </si>
  <si>
    <t>Crypto / CASP</t>
  </si>
  <si>
    <t>Forex / Securities</t>
  </si>
  <si>
    <t>Fund / Gaming</t>
  </si>
  <si>
    <t>5-Year Revenue Projection</t>
  </si>
  <si>
    <t>New Clients</t>
  </si>
  <si>
    <t>New Revenue ($)</t>
  </si>
  <si>
    <t>Renewal Rev ($)</t>
  </si>
  <si>
    <t>Total ($)</t>
  </si>
  <si>
    <t>Cumulative ($)</t>
  </si>
  <si>
    <t>Y1</t>
  </si>
  <si>
    <t>Y2</t>
  </si>
  <si>
    <t>Y3</t>
  </si>
  <si>
    <t>Y4</t>
  </si>
  <si>
    <t>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</si>
</sst>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B2A4A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1B2A4A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8F0FE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0" fontId="6" fillId="0" borderId="0" xfId="0" applyFont="1"/>
    <xf numFmtId="0" fontId="4" fillId="0" borderId="0" xfId="0" applyFont="1"/>
    <xf numFmtId="3" fontId="5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8B5CF6"/>
      <rgbColor rgb="FF993366"/>
      <rgbColor rgb="FFFFFFCC"/>
      <rgbColor rgb="FFE8F0FE"/>
      <rgbColor rgb="FF660066"/>
      <rgbColor rgb="FFEC4899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EF4444"/>
      <rgbColor rgb="FF666666"/>
      <rgbColor rgb="FF4F81BD"/>
      <rgbColor rgb="FF003366"/>
      <rgbColor rgb="FF10B981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Annual Revenue Growth (USD)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5-Year'!$D$5</c:f>
              <c:strCache>
                <c:ptCount val="1"/>
                <c:pt idx="0">
                  <c:v>Total (USD)</c:v>
                </c:pt>
              </c:strCache>
            </c:strRef>
          </c:tx>
          <c:spPr>
            <a:solidFill>
              <a:srgbClr val="3B82F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'Combined 5-Year'!$B$6:$B$10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'Combined 5-Year'!$D$6:$D$10</c:f>
              <c:numCache>
                <c:formatCode>#,##0</c:formatCode>
                <c:ptCount val="5"/>
                <c:pt idx="0">
                  <c:v>110900</c:v>
                </c:pt>
                <c:pt idx="1">
                  <c:v>212780</c:v>
                </c:pt>
                <c:pt idx="2">
                  <c:v>315500</c:v>
                </c:pt>
                <c:pt idx="3">
                  <c:v>539970</c:v>
                </c:pt>
                <c:pt idx="4">
                  <c:v>672740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D-104F-A221-E060AF694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21164"/>
        <c:axId val="24750208"/>
      </c:barChart>
      <c:catAx>
        <c:axId val="155211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750208"/>
        <c:crosses val="autoZero"/>
        <c:auto val="1"/>
        <c:lblAlgn val="ctr"/>
        <c:lblOffset val="100"/>
        <c:noMultiLvlLbl val="0"/>
      </c:catAx>
      <c:valAx>
        <c:axId val="247502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2116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Cumulative Revenue Trajectory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5-Year'!$I$5</c:f>
              <c:strCache>
                <c:ptCount val="1"/>
                <c:pt idx="0">
                  <c:v>Cumulative</c:v>
                </c:pt>
              </c:strCache>
            </c:strRef>
          </c:tx>
          <c:spPr>
            <a:ln w="28080">
              <a:solidFill>
                <a:srgbClr val="EF44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'Combined 5-Year'!$B$6:$B$10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'Combined 5-Year'!$I$6:$I$10</c:f>
              <c:numCache>
                <c:formatCode>#,##0</c:formatCode>
                <c:ptCount val="5"/>
                <c:pt idx="0">
                  <c:v>110900</c:v>
                </c:pt>
                <c:pt idx="1">
                  <c:v>323680</c:v>
                </c:pt>
                <c:pt idx="2">
                  <c:v>639180</c:v>
                </c:pt>
                <c:pt idx="3">
                  <c:v>1179150</c:v>
                </c:pt>
                <c:pt idx="4">
                  <c:v>1851890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A0-8F4D-ABE4-B796B73C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1340350"/>
        <c:axId val="71935859"/>
      </c:lineChart>
      <c:catAx>
        <c:axId val="513403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35859"/>
        <c:crosses val="autoZero"/>
        <c:auto val="1"/>
        <c:lblAlgn val="ctr"/>
        <c:lblOffset val="100"/>
        <c:noMultiLvlLbl val="0"/>
      </c:catAx>
      <c:valAx>
        <c:axId val="719358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Cumulative USD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34035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New vs Renewal Revenue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'Combined 5-Year'!$E$5</c:f>
              <c:strCache>
                <c:ptCount val="1"/>
                <c:pt idx="0">
                  <c:v>New 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'Combined 5-Year'!$B$6:$B$10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'Combined 5-Year'!$E$6:$E$10</c:f>
              <c:numCache>
                <c:formatCode>#,##0</c:formatCode>
                <c:ptCount val="5"/>
                <c:pt idx="0">
                  <c:v>110900</c:v>
                </c:pt>
                <c:pt idx="1">
                  <c:v>151600</c:v>
                </c:pt>
                <c:pt idx="2">
                  <c:v>167100</c:v>
                </c:pt>
                <c:pt idx="3">
                  <c:v>293500</c:v>
                </c:pt>
                <c:pt idx="4">
                  <c:v>328200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6-C24F-A679-2386FC1357B2}"/>
            </c:ext>
          </c:extLst>
        </c:ser>
        <c:ser>
          <c:idx val="1"/>
          <c:order val="1"/>
          <c:tx>
            <c:strRef>
              <c:f>'Combined 5-Year'!$F$5</c:f>
              <c:strCache>
                <c:ptCount val="1"/>
                <c:pt idx="0">
                  <c:v>Renewal Rev</c:v>
                </c:pt>
              </c:strCache>
            </c:strRef>
          </c:tx>
          <c:spPr>
            <a:solidFill>
              <a:srgbClr val="10B98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'Combined 5-Year'!$B$6:$B$10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'Combined 5-Year'!$F$6:$F$10</c:f>
              <c:numCache>
                <c:formatCode>#,##0</c:formatCode>
                <c:ptCount val="5"/>
                <c:pt idx="0">
                  <c:v>0</c:v>
                </c:pt>
                <c:pt idx="1">
                  <c:v>61180</c:v>
                </c:pt>
                <c:pt idx="2">
                  <c:v>148400</c:v>
                </c:pt>
                <c:pt idx="3">
                  <c:v>246470</c:v>
                </c:pt>
                <c:pt idx="4">
                  <c:v>344540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6-C24F-A679-2386FC135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947376"/>
        <c:axId val="66967783"/>
      </c:barChart>
      <c:catAx>
        <c:axId val="3394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967783"/>
        <c:crosses val="autoZero"/>
        <c:auto val="1"/>
        <c:lblAlgn val="ctr"/>
        <c:lblOffset val="100"/>
        <c:noMultiLvlLbl val="0"/>
      </c:catAx>
      <c:valAx>
        <c:axId val="669677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4737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Year 1 (FY2026) — Revenue by Service (USD)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EC-7B49-A2DE-1FE5D2654820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EC-7B49-A2DE-1FE5D2654820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3EC-7B49-A2DE-1FE5D2654820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3EC-7B49-A2DE-1FE5D2654820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3EC-7B49-A2DE-1FE5D2654820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3EC-7B49-A2DE-1FE5D265482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3EC-7B49-A2DE-1FE5D265482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3EC-7B49-A2DE-1FE5D265482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3EC-7B49-A2DE-1FE5D265482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3EC-7B49-A2DE-1FE5D265482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3EC-7B49-A2DE-1FE5D265482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53EC-7B49-A2DE-1FE5D26548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'Year 1 (FY2026)'!$B$6:$B$11</c:f>
              <c:strCache>
                <c:ptCount val="6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Office Registration</c:v>
                </c:pt>
                <c:pt idx="5">
                  <c:v>Banking</c:v>
                </c:pt>
              </c:strCache>
            </c:strRef>
          </c:cat>
          <c:val>
            <c:numRef>
              <c:f>'Year 1 (FY2026)'!$H$6:$H$11</c:f>
              <c:numCache>
                <c:formatCode>#,##0</c:formatCode>
                <c:ptCount val="6"/>
                <c:pt idx="0">
                  <c:v>15000</c:v>
                </c:pt>
                <c:pt idx="1">
                  <c:v>13000</c:v>
                </c:pt>
                <c:pt idx="2">
                  <c:v>59400</c:v>
                </c:pt>
                <c:pt idx="3">
                  <c:v>14000</c:v>
                </c:pt>
                <c:pt idx="4">
                  <c:v>3000</c:v>
                </c:pt>
                <c:pt idx="5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EC-7B49-A2DE-1FE5D2654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94295"/>
        <c:axId val="48972624"/>
      </c:barChart>
      <c:catAx>
        <c:axId val="998942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972624"/>
        <c:crosses val="autoZero"/>
        <c:auto val="1"/>
        <c:lblAlgn val="ctr"/>
        <c:lblOffset val="100"/>
        <c:noMultiLvlLbl val="0"/>
      </c:catAx>
      <c:valAx>
        <c:axId val="48972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9429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Year 1 (FY2026) — Service Mix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FF-9143-A9B9-1C7CF7C6A0F2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FF-9143-A9B9-1C7CF7C6A0F2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FF-9143-A9B9-1C7CF7C6A0F2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EFF-9143-A9B9-1C7CF7C6A0F2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EFF-9143-A9B9-1C7CF7C6A0F2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EFF-9143-A9B9-1C7CF7C6A0F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EFF-9143-A9B9-1C7CF7C6A0F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EFF-9143-A9B9-1C7CF7C6A0F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EFF-9143-A9B9-1C7CF7C6A0F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2EFF-9143-A9B9-1C7CF7C6A0F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2EFF-9143-A9B9-1C7CF7C6A0F2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2EFF-9143-A9B9-1C7CF7C6A0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'Year 1 (FY2026)'!$B$6:$B$11</c:f>
              <c:strCache>
                <c:ptCount val="6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Office Registration</c:v>
                </c:pt>
                <c:pt idx="5">
                  <c:v>Banking</c:v>
                </c:pt>
              </c:strCache>
            </c:strRef>
          </c:cat>
          <c:val>
            <c:numRef>
              <c:f>'Year 1 (FY2026)'!$H$6:$H$11</c:f>
              <c:numCache>
                <c:formatCode>#,##0</c:formatCode>
                <c:ptCount val="6"/>
                <c:pt idx="0">
                  <c:v>15000</c:v>
                </c:pt>
                <c:pt idx="1">
                  <c:v>13000</c:v>
                </c:pt>
                <c:pt idx="2">
                  <c:v>59400</c:v>
                </c:pt>
                <c:pt idx="3">
                  <c:v>14000</c:v>
                </c:pt>
                <c:pt idx="4">
                  <c:v>3000</c:v>
                </c:pt>
                <c:pt idx="5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FF-9143-A9B9-1C7CF7C6A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Year 2 (FY2027) — Revenue by Service (USD)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561-D44E-8772-7C40A7941382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561-D44E-8772-7C40A7941382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561-D44E-8772-7C40A7941382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561-D44E-8772-7C40A7941382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561-D44E-8772-7C40A794138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561-D44E-8772-7C40A794138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561-D44E-8772-7C40A794138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561-D44E-8772-7C40A794138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561-D44E-8772-7C40A794138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561-D44E-8772-7C40A79413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'Year 2 (FY2027)'!$B$6:$B$10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2 (FY2027)'!$H$6:$H$10</c:f>
              <c:numCache>
                <c:formatCode>#,##0</c:formatCode>
                <c:ptCount val="5"/>
                <c:pt idx="0">
                  <c:v>33000</c:v>
                </c:pt>
                <c:pt idx="1">
                  <c:v>22100</c:v>
                </c:pt>
                <c:pt idx="2">
                  <c:v>130680</c:v>
                </c:pt>
                <c:pt idx="3">
                  <c:v>14000</c:v>
                </c:pt>
                <c:pt idx="4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61-D44E-8772-7C40A7941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97265"/>
        <c:axId val="13725171"/>
      </c:barChart>
      <c:catAx>
        <c:axId val="365972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25171"/>
        <c:crosses val="autoZero"/>
        <c:auto val="1"/>
        <c:lblAlgn val="ctr"/>
        <c:lblOffset val="100"/>
        <c:noMultiLvlLbl val="0"/>
      </c:catAx>
      <c:valAx>
        <c:axId val="13725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59726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Year 2 (FY2027) — Service Mix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9B-B044-B51E-A115125FDD56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79B-B044-B51E-A115125FDD56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79B-B044-B51E-A115125FDD56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79B-B044-B51E-A115125FDD56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79B-B044-B51E-A115125FDD5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79B-B044-B51E-A115125FDD5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79B-B044-B51E-A115125FDD5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79B-B044-B51E-A115125FDD5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79B-B044-B51E-A115125FDD5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B79B-B044-B51E-A115125FDD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'Year 2 (FY2027)'!$B$6:$B$10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2 (FY2027)'!$H$6:$H$10</c:f>
              <c:numCache>
                <c:formatCode>#,##0</c:formatCode>
                <c:ptCount val="5"/>
                <c:pt idx="0">
                  <c:v>33000</c:v>
                </c:pt>
                <c:pt idx="1">
                  <c:v>22100</c:v>
                </c:pt>
                <c:pt idx="2">
                  <c:v>130680</c:v>
                </c:pt>
                <c:pt idx="3">
                  <c:v>14000</c:v>
                </c:pt>
                <c:pt idx="4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9B-B044-B51E-A115125FD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Year 3 (FY2028) — Revenue by Service (USD)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687-D340-9618-BF5A634AEC44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687-D340-9618-BF5A634AEC44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687-D340-9618-BF5A634AEC44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687-D340-9618-BF5A634AEC44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687-D340-9618-BF5A634AEC4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687-D340-9618-BF5A634AEC4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687-D340-9618-BF5A634AEC4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687-D340-9618-BF5A634AEC4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687-D340-9618-BF5A634AEC4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A687-D340-9618-BF5A634AEC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'Year 3 (FY2028)'!$B$6:$B$10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3 (FY2028)'!$H$6:$H$10</c:f>
              <c:numCache>
                <c:formatCode>#,##0</c:formatCode>
                <c:ptCount val="5"/>
                <c:pt idx="0">
                  <c:v>51250</c:v>
                </c:pt>
                <c:pt idx="1">
                  <c:v>44200</c:v>
                </c:pt>
                <c:pt idx="2">
                  <c:v>193050</c:v>
                </c:pt>
                <c:pt idx="3">
                  <c:v>14000</c:v>
                </c:pt>
                <c:pt idx="4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87-D340-9618-BF5A634A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7339"/>
        <c:axId val="17300346"/>
      </c:barChart>
      <c:catAx>
        <c:axId val="407673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300346"/>
        <c:crosses val="autoZero"/>
        <c:auto val="1"/>
        <c:lblAlgn val="ctr"/>
        <c:lblOffset val="100"/>
        <c:noMultiLvlLbl val="0"/>
      </c:catAx>
      <c:valAx>
        <c:axId val="173003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6733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Year 3 (FY2028) — Service Mix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F12-0342-A899-788ABACE182F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F12-0342-A899-788ABACE182F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F12-0342-A899-788ABACE182F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F12-0342-A899-788ABACE182F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F12-0342-A899-788ABACE182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F12-0342-A899-788ABACE182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F12-0342-A899-788ABACE182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F12-0342-A899-788ABACE182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F12-0342-A899-788ABACE182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BF12-0342-A899-788ABACE18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'Year 3 (FY2028)'!$B$6:$B$10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3 (FY2028)'!$H$6:$H$10</c:f>
              <c:numCache>
                <c:formatCode>#,##0</c:formatCode>
                <c:ptCount val="5"/>
                <c:pt idx="0">
                  <c:v>51250</c:v>
                </c:pt>
                <c:pt idx="1">
                  <c:v>44200</c:v>
                </c:pt>
                <c:pt idx="2">
                  <c:v>193050</c:v>
                </c:pt>
                <c:pt idx="3">
                  <c:v>14000</c:v>
                </c:pt>
                <c:pt idx="4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12-0342-A899-788ABACE1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Year 4 (FY2029) — Revenue by Service (USD)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06-E747-87FB-D362D36C5878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06-E747-87FB-D362D36C5878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06-E747-87FB-D362D36C5878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B06-E747-87FB-D362D36C5878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B06-E747-87FB-D362D36C587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B06-E747-87FB-D362D36C587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B06-E747-87FB-D362D36C587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B06-E747-87FB-D362D36C587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B06-E747-87FB-D362D36C587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B06-E747-87FB-D362D36C58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'Year 4 (FY2029)'!$B$6:$B$10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4 (FY2029)'!$H$6:$H$10</c:f>
              <c:numCache>
                <c:formatCode>#,##0</c:formatCode>
                <c:ptCount val="5"/>
                <c:pt idx="0">
                  <c:v>83750</c:v>
                </c:pt>
                <c:pt idx="1">
                  <c:v>75400</c:v>
                </c:pt>
                <c:pt idx="2">
                  <c:v>314820</c:v>
                </c:pt>
                <c:pt idx="3">
                  <c:v>14000</c:v>
                </c:pt>
                <c:pt idx="4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06-E747-87FB-D362D36C5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57556"/>
        <c:axId val="37503093"/>
      </c:barChart>
      <c:catAx>
        <c:axId val="464575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03093"/>
        <c:crosses val="autoZero"/>
        <c:auto val="1"/>
        <c:lblAlgn val="ctr"/>
        <c:lblOffset val="100"/>
        <c:noMultiLvlLbl val="0"/>
      </c:catAx>
      <c:valAx>
        <c:axId val="37503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45755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Year 4 (FY2029) — Service Mix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12B-E24D-9505-8302ACB2A513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12B-E24D-9505-8302ACB2A513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12B-E24D-9505-8302ACB2A513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12B-E24D-9505-8302ACB2A513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12B-E24D-9505-8302ACB2A51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12B-E24D-9505-8302ACB2A51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12B-E24D-9505-8302ACB2A51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12B-E24D-9505-8302ACB2A51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12B-E24D-9505-8302ACB2A51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12B-E24D-9505-8302ACB2A5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'Year 4 (FY2029)'!$B$6:$B$10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4 (FY2029)'!$H$6:$H$10</c:f>
              <c:numCache>
                <c:formatCode>#,##0</c:formatCode>
                <c:ptCount val="5"/>
                <c:pt idx="0">
                  <c:v>83750</c:v>
                </c:pt>
                <c:pt idx="1">
                  <c:v>75400</c:v>
                </c:pt>
                <c:pt idx="2">
                  <c:v>314820</c:v>
                </c:pt>
                <c:pt idx="3">
                  <c:v>14000</c:v>
                </c:pt>
                <c:pt idx="4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2B-E24D-9505-8302ACB2A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Year 5 (FY2030) — Revenue by Service (USD)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9F-CE4F-8460-E47BFCAF2CC8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9F-CE4F-8460-E47BFCAF2CC8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9F-CE4F-8460-E47BFCAF2CC8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49F-CE4F-8460-E47BFCAF2CC8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49F-CE4F-8460-E47BFCAF2CC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49F-CE4F-8460-E47BFCAF2CC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49F-CE4F-8460-E47BFCAF2CC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49F-CE4F-8460-E47BFCAF2CC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49F-CE4F-8460-E47BFCAF2CC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49F-CE4F-8460-E47BFCAF2C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'Year 5 (FY2030)'!$B$6:$B$10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5 (FY2030)'!$H$6:$H$10</c:f>
              <c:numCache>
                <c:formatCode>#,##0</c:formatCode>
                <c:ptCount val="5"/>
                <c:pt idx="0">
                  <c:v>108000</c:v>
                </c:pt>
                <c:pt idx="1">
                  <c:v>84500</c:v>
                </c:pt>
                <c:pt idx="2">
                  <c:v>414240</c:v>
                </c:pt>
                <c:pt idx="3">
                  <c:v>14000</c:v>
                </c:pt>
                <c:pt idx="4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9F-CE4F-8460-E47BFCAF2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50328"/>
        <c:axId val="474298"/>
      </c:barChart>
      <c:catAx>
        <c:axId val="140503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298"/>
        <c:crosses val="autoZero"/>
        <c:auto val="1"/>
        <c:lblAlgn val="ctr"/>
        <c:lblOffset val="100"/>
        <c:noMultiLvlLbl val="0"/>
      </c:catAx>
      <c:valAx>
        <c:axId val="474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5032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Year 5 (FY2030) — Service Mix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9B-3E47-BB78-E2A3AE8DF344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9B-3E47-BB78-E2A3AE8DF344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9B-3E47-BB78-E2A3AE8DF344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39B-3E47-BB78-E2A3AE8DF344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39B-3E47-BB78-E2A3AE8DF34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39B-3E47-BB78-E2A3AE8DF34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39B-3E47-BB78-E2A3AE8DF34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39B-3E47-BB78-E2A3AE8DF34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39B-3E47-BB78-E2A3AE8DF34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39B-3E47-BB78-E2A3AE8DF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'Year 5 (FY2030)'!$B$6:$B$10</c:f>
              <c:strCache>
                <c:ptCount val="5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Banking</c:v>
                </c:pt>
              </c:strCache>
            </c:strRef>
          </c:cat>
          <c:val>
            <c:numRef>
              <c:f>'Year 5 (FY2030)'!$H$6:$H$10</c:f>
              <c:numCache>
                <c:formatCode>#,##0</c:formatCode>
                <c:ptCount val="5"/>
                <c:pt idx="0">
                  <c:v>108000</c:v>
                </c:pt>
                <c:pt idx="1">
                  <c:v>84500</c:v>
                </c:pt>
                <c:pt idx="2">
                  <c:v>414240</c:v>
                </c:pt>
                <c:pt idx="3">
                  <c:v>14000</c:v>
                </c:pt>
                <c:pt idx="4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39B-3E47-BB78-E2A3AE8DF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Annual Commission by Tier (USD)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79B-4843-9D5B-AF2DC297E45D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79B-4843-9D5B-AF2DC297E45D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79B-4843-9D5B-AF2DC297E45D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79B-4843-9D5B-AF2DC297E45D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79B-4843-9D5B-AF2DC297E45D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79B-4843-9D5B-AF2DC297E45D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79B-4843-9D5B-AF2DC297E45D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79B-4843-9D5B-AF2DC297E45D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79B-4843-9D5B-AF2DC297E45D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79B-4843-9D5B-AF2DC297E4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'Banking Projection'!$B$6:$B$10</c:f>
              <c:strCache>
                <c:ptCount val="5"/>
                <c:pt idx="0">
                  <c:v>Small fintech / SaaS</c:v>
                </c:pt>
                <c:pt idx="1">
                  <c:v>Mid-tier corporate</c:v>
                </c:pt>
                <c:pt idx="2">
                  <c:v>Forex broker</c:v>
                </c:pt>
                <c:pt idx="3">
                  <c:v>iGaming operator</c:v>
                </c:pt>
                <c:pt idx="4">
                  <c:v>Crypto / VASP</c:v>
                </c:pt>
              </c:strCache>
            </c:strRef>
          </c:cat>
          <c:val>
            <c:numRef>
              <c:f>'Banking Projection'!$F$6:$F$10</c:f>
              <c:numCache>
                <c:formatCode>#,##0</c:formatCode>
                <c:ptCount val="5"/>
                <c:pt idx="0">
                  <c:v>1200</c:v>
                </c:pt>
                <c:pt idx="1">
                  <c:v>3600</c:v>
                </c:pt>
                <c:pt idx="2">
                  <c:v>36000</c:v>
                </c:pt>
                <c:pt idx="3">
                  <c:v>200000</c:v>
                </c:pt>
                <c:pt idx="4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9B-4843-9D5B-AF2DC297E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0068"/>
        <c:axId val="11367694"/>
      </c:barChart>
      <c:catAx>
        <c:axId val="8500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367694"/>
        <c:crosses val="autoZero"/>
        <c:auto val="1"/>
        <c:lblAlgn val="ctr"/>
        <c:lblOffset val="100"/>
        <c:noMultiLvlLbl val="0"/>
      </c:catAx>
      <c:valAx>
        <c:axId val="113676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006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Commission Share by Tier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8C-6348-927B-201E3D61DA31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8C-6348-927B-201E3D61DA31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8C-6348-927B-201E3D61DA31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78C-6348-927B-201E3D61DA31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78C-6348-927B-201E3D61DA3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78C-6348-927B-201E3D61DA3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78C-6348-927B-201E3D61DA3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78C-6348-927B-201E3D61DA3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C78C-6348-927B-201E3D61DA3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C78C-6348-927B-201E3D61D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'Banking Projection'!$B$6:$B$10</c:f>
              <c:strCache>
                <c:ptCount val="5"/>
                <c:pt idx="0">
                  <c:v>Small fintech / SaaS</c:v>
                </c:pt>
                <c:pt idx="1">
                  <c:v>Mid-tier corporate</c:v>
                </c:pt>
                <c:pt idx="2">
                  <c:v>Forex broker</c:v>
                </c:pt>
                <c:pt idx="3">
                  <c:v>iGaming operator</c:v>
                </c:pt>
                <c:pt idx="4">
                  <c:v>Crypto / VASP</c:v>
                </c:pt>
              </c:strCache>
            </c:strRef>
          </c:cat>
          <c:val>
            <c:numRef>
              <c:f>'Banking Projection'!$F$6:$F$10</c:f>
              <c:numCache>
                <c:formatCode>#,##0</c:formatCode>
                <c:ptCount val="5"/>
                <c:pt idx="0">
                  <c:v>1200</c:v>
                </c:pt>
                <c:pt idx="1">
                  <c:v>3600</c:v>
                </c:pt>
                <c:pt idx="2">
                  <c:v>36000</c:v>
                </c:pt>
                <c:pt idx="3">
                  <c:v>200000</c:v>
                </c:pt>
                <c:pt idx="4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8C-6348-927B-201E3D61D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Portfolio Annual Revenue Comparison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F5-114B-AB02-632D917F5B76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F5-114B-AB02-632D917F5B76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F5-114B-AB02-632D917F5B76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CF5-114B-AB02-632D917F5B76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CF5-114B-AB02-632D917F5B76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CF5-114B-AB02-632D917F5B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'Banking Projection'!$B$15:$B$17</c:f>
              <c:strCache>
                <c:ptCount val="3"/>
                <c:pt idx="0">
                  <c:v>A: SaaS-heavy</c:v>
                </c:pt>
                <c:pt idx="1">
                  <c:v>B: Balanced</c:v>
                </c:pt>
                <c:pt idx="2">
                  <c:v>C: High-risk weighted</c:v>
                </c:pt>
              </c:strCache>
            </c:strRef>
          </c:cat>
          <c:val>
            <c:numRef>
              <c:f>'Banking Projection'!$C$15:$C$17</c:f>
              <c:numCache>
                <c:formatCode>#,##0</c:formatCode>
                <c:ptCount val="3"/>
                <c:pt idx="0">
                  <c:v>88800</c:v>
                </c:pt>
                <c:pt idx="1">
                  <c:v>536400</c:v>
                </c:pt>
                <c:pt idx="2">
                  <c:v>1016400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F5-114B-AB02-632D917F5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97810"/>
        <c:axId val="17569954"/>
      </c:barChart>
      <c:catAx>
        <c:axId val="408978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69954"/>
        <c:crosses val="autoZero"/>
        <c:auto val="1"/>
        <c:lblAlgn val="ctr"/>
        <c:lblOffset val="100"/>
        <c:noMultiLvlLbl val="0"/>
      </c:catAx>
      <c:valAx>
        <c:axId val="175699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978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>
                <a:solidFill>
                  <a:srgbClr val="1B2A4A"/>
                </a:solidFill>
                <a:latin typeface="Arial"/>
              </a:defRPr>
            </a:pPr>
            <a:r>
              <a:rPr sz="1400" b="1">
                <a:solidFill>
                  <a:srgbClr val="1B2A4A"/>
                </a:solidFill>
                <a:latin typeface="Arial"/>
              </a:rPr>
              <a:t>Risk vs Commission — by Client Type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Small fintech / SaaS</c:v>
          </c:tx>
          <c:spPr>
            <a:ln>
              <a:noFill/>
              <a:prstDash val="solid"/>
            </a:ln>
          </c:spPr>
          <c:marker>
            <c:symbol val="circle"/>
            <c:size val="14"/>
            <c:spPr>
              <a:solidFill>
                <a:srgbClr val="10B981"/>
              </a:solidFill>
              <a:ln>
                <a:solidFill>
                  <a:srgbClr val="10B981"/>
                </a:solidFill>
                <a:prstDash val="solid"/>
              </a:ln>
            </c:spPr>
          </c:marker>
          <c:xVal>
            <c:numRef>
              <c:f>'Banking Projection'!$C$21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'Banking Projection'!$D$21</c:f>
              <c:numCache>
                <c:formatCode>General</c:formatCode>
                <c:ptCount val="1"/>
                <c:pt idx="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7D-2646-AA58-B7C7A0FDADA3}"/>
            </c:ext>
          </c:extLst>
        </c:ser>
        <c:ser>
          <c:idx val="1"/>
          <c:order val="1"/>
          <c:tx>
            <c:v>Mid-tier corporate</c:v>
          </c:tx>
          <c:spPr>
            <a:ln>
              <a:noFill/>
              <a:prstDash val="solid"/>
            </a:ln>
          </c:spPr>
          <c:marker>
            <c:symbol val="circle"/>
            <c:size val="14"/>
            <c:spPr>
              <a:solidFill>
                <a:srgbClr val="3B82F6"/>
              </a:solidFill>
              <a:ln>
                <a:solidFill>
                  <a:srgbClr val="3B82F6"/>
                </a:solidFill>
                <a:prstDash val="solid"/>
              </a:ln>
            </c:spPr>
          </c:marker>
          <c:xVal>
            <c:numRef>
              <c:f>'Banking Projection'!$C$22</c:f>
              <c:numCache>
                <c:formatCode>General</c:formatCode>
                <c:ptCount val="1"/>
                <c:pt idx="0">
                  <c:v>30</c:v>
                </c:pt>
              </c:numCache>
            </c:numRef>
          </c:xVal>
          <c:yVal>
            <c:numRef>
              <c:f>'Banking Projection'!$D$22</c:f>
              <c:numCache>
                <c:formatCode>General</c:formatCode>
                <c:ptCount val="1"/>
                <c:pt idx="0">
                  <c:v>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7D-2646-AA58-B7C7A0FDADA3}"/>
            </c:ext>
          </c:extLst>
        </c:ser>
        <c:ser>
          <c:idx val="2"/>
          <c:order val="2"/>
          <c:tx>
            <c:v>Forex broker</c:v>
          </c:tx>
          <c:spPr>
            <a:ln>
              <a:noFill/>
              <a:prstDash val="solid"/>
            </a:ln>
          </c:spPr>
          <c:marker>
            <c:symbol val="circle"/>
            <c:size val="14"/>
            <c:spPr>
              <a:solidFill>
                <a:srgbClr val="F59E0B"/>
              </a:solidFill>
              <a:ln>
                <a:solidFill>
                  <a:srgbClr val="F59E0B"/>
                </a:solidFill>
                <a:prstDash val="solid"/>
              </a:ln>
            </c:spPr>
          </c:marker>
          <c:xVal>
            <c:numRef>
              <c:f>'Banking Projection'!$C$23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'Banking Projection'!$D$23</c:f>
              <c:numCache>
                <c:formatCode>General</c:formatCode>
                <c:ptCount val="1"/>
                <c:pt idx="0">
                  <c:v>36000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7D-2646-AA58-B7C7A0FDADA3}"/>
            </c:ext>
          </c:extLst>
        </c:ser>
        <c:ser>
          <c:idx val="3"/>
          <c:order val="3"/>
          <c:tx>
            <c:v>iGaming operator</c:v>
          </c:tx>
          <c:spPr>
            <a:ln>
              <a:noFill/>
              <a:prstDash val="solid"/>
            </a:ln>
          </c:spPr>
          <c:marker>
            <c:symbol val="circle"/>
            <c:size val="14"/>
            <c:spPr>
              <a:solidFill>
                <a:srgbClr val="EF4444"/>
              </a:solidFill>
              <a:ln>
                <a:solidFill>
                  <a:srgbClr val="EF4444"/>
                </a:solidFill>
                <a:prstDash val="solid"/>
              </a:ln>
            </c:spPr>
          </c:marker>
          <c:xVal>
            <c:numRef>
              <c:f>'Banking Projection'!$C$24</c:f>
              <c:numCache>
                <c:formatCode>General</c:formatCode>
                <c:ptCount val="1"/>
                <c:pt idx="0">
                  <c:v>80</c:v>
                </c:pt>
              </c:numCache>
            </c:numRef>
          </c:xVal>
          <c:yVal>
            <c:numRef>
              <c:f>'Banking Projection'!$D$24</c:f>
              <c:numCache>
                <c:formatCode>General</c:formatCode>
                <c:ptCount val="1"/>
                <c:pt idx="0">
                  <c:v>200000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7D-2646-AA58-B7C7A0FDADA3}"/>
            </c:ext>
          </c:extLst>
        </c:ser>
        <c:ser>
          <c:idx val="4"/>
          <c:order val="4"/>
          <c:tx>
            <c:v>Crypto / VASP</c:v>
          </c:tx>
          <c:spPr>
            <a:ln>
              <a:noFill/>
              <a:prstDash val="solid"/>
            </a:ln>
          </c:spPr>
          <c:marker>
            <c:symbol val="circle"/>
            <c:size val="14"/>
            <c:spPr>
              <a:solidFill>
                <a:srgbClr val="8B5CF6"/>
              </a:solidFill>
              <a:ln>
                <a:solidFill>
                  <a:srgbClr val="8B5CF6"/>
                </a:solidFill>
                <a:prstDash val="solid"/>
              </a:ln>
            </c:spPr>
          </c:marker>
          <c:xVal>
            <c:numRef>
              <c:f>'Banking Projection'!$C$25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'Banking Projection'!$D$25</c:f>
              <c:numCache>
                <c:formatCode>General</c:formatCode>
                <c:ptCount val="1"/>
                <c:pt idx="0">
                  <c:v>250000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E7D-2646-AA58-B7C7A0FDA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20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Commission Rate (bps)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Annual Commission ($)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Licensing Revenue — New vs Renewal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'Licensing Projection'!$D$14</c:f>
              <c:strCache>
                <c:ptCount val="1"/>
                <c:pt idx="0">
                  <c:v>New Revenue ($)</c:v>
                </c:pt>
              </c:strCache>
            </c:strRef>
          </c:tx>
          <c:spPr>
            <a:solidFill>
              <a:srgbClr val="3B82F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'Licensing Projection'!$B$15:$B$19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'Licensing Projection'!$D$15:$D$19</c:f>
              <c:numCache>
                <c:formatCode>#,##0</c:formatCode>
                <c:ptCount val="5"/>
                <c:pt idx="0">
                  <c:v>0</c:v>
                </c:pt>
                <c:pt idx="1">
                  <c:v>34800</c:v>
                </c:pt>
                <c:pt idx="2">
                  <c:v>52200</c:v>
                </c:pt>
                <c:pt idx="3">
                  <c:v>69600</c:v>
                </c:pt>
                <c:pt idx="4">
                  <c:v>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A-DD4F-AB97-9C561FFB57C8}"/>
            </c:ext>
          </c:extLst>
        </c:ser>
        <c:ser>
          <c:idx val="1"/>
          <c:order val="1"/>
          <c:tx>
            <c:strRef>
              <c:f>'Licensing Projection'!$F$14</c:f>
              <c:strCache>
                <c:ptCount val="1"/>
                <c:pt idx="0">
                  <c:v>Renewal Rev ($)</c:v>
                </c:pt>
              </c:strCache>
            </c:strRef>
          </c:tx>
          <c:spPr>
            <a:solidFill>
              <a:srgbClr val="10B98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'Licensing Projection'!$B$15:$B$19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'Licensing Projection'!$F$15:$F$19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5800</c:v>
                </c:pt>
                <c:pt idx="3">
                  <c:v>11600</c:v>
                </c:pt>
                <c:pt idx="4">
                  <c:v>17400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A-DD4F-AB97-9C561FFB5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505317"/>
        <c:axId val="23205747"/>
      </c:barChart>
      <c:catAx>
        <c:axId val="855053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205747"/>
        <c:crosses val="autoZero"/>
        <c:auto val="1"/>
        <c:lblAlgn val="ctr"/>
        <c:lblOffset val="100"/>
        <c:noMultiLvlLbl val="0"/>
      </c:catAx>
      <c:valAx>
        <c:axId val="232057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50531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Licensing Cumulative Revenue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'Licensing Projection'!$H$14</c:f>
              <c:strCache>
                <c:ptCount val="1"/>
                <c:pt idx="0">
                  <c:v>Cumulative ($)</c:v>
                </c:pt>
              </c:strCache>
            </c:strRef>
          </c:tx>
          <c:spPr>
            <a:ln w="28080">
              <a:solidFill>
                <a:srgbClr val="EF44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'Licensing Projection'!$B$15:$B$19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'Licensing Projection'!$H$15:$H$19</c:f>
              <c:numCache>
                <c:formatCode>#,##0</c:formatCode>
                <c:ptCount val="5"/>
                <c:pt idx="0">
                  <c:v>0</c:v>
                </c:pt>
                <c:pt idx="1">
                  <c:v>34800</c:v>
                </c:pt>
                <c:pt idx="2">
                  <c:v>92800</c:v>
                </c:pt>
                <c:pt idx="3">
                  <c:v>174000</c:v>
                </c:pt>
                <c:pt idx="4">
                  <c:v>278400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25-8A46-893B-A63142A6F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393575"/>
        <c:axId val="91457111"/>
      </c:lineChart>
      <c:catAx>
        <c:axId val="13935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457111"/>
        <c:crosses val="autoZero"/>
        <c:auto val="1"/>
        <c:lblAlgn val="ctr"/>
        <c:lblOffset val="100"/>
        <c:noMultiLvlLbl val="0"/>
      </c:catAx>
      <c:valAx>
        <c:axId val="914571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Cumulative USD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357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Licensing Tier Fee Weight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43-9146-92BF-A96B6A6FD953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43-9146-92BF-A96B6A6FD953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43-9146-92BF-A96B6A6FD953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043-9146-92BF-A96B6A6FD95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043-9146-92BF-A96B6A6FD95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043-9146-92BF-A96B6A6FD95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043-9146-92BF-A96B6A6FD95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043-9146-92BF-A96B6A6FD9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'Licensing Projection'!$B$7:$B$10</c:f>
              <c:strCache>
                <c:ptCount val="4"/>
                <c:pt idx="0">
                  <c:v>Crypto / CASP</c:v>
                </c:pt>
                <c:pt idx="1">
                  <c:v>Forex / Securities</c:v>
                </c:pt>
                <c:pt idx="2">
                  <c:v>Banking</c:v>
                </c:pt>
                <c:pt idx="3">
                  <c:v>Fund / Gaming</c:v>
                </c:pt>
              </c:strCache>
            </c:strRef>
          </c:cat>
          <c:val>
            <c:numRef>
              <c:f>'Licensing Projection'!$D$7:$D$10</c:f>
              <c:numCache>
                <c:formatCode>#,##0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0.1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43-9146-92BF-A96B6A6FD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6</xdr:col>
      <xdr:colOff>262080</xdr:colOff>
      <xdr:row>36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711200</xdr:colOff>
      <xdr:row>15</xdr:row>
      <xdr:rowOff>127000</xdr:rowOff>
    </xdr:from>
    <xdr:to>
      <xdr:col>12</xdr:col>
      <xdr:colOff>160480</xdr:colOff>
      <xdr:row>38</xdr:row>
      <xdr:rowOff>65380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6</xdr:col>
      <xdr:colOff>262080</xdr:colOff>
      <xdr:row>72</xdr:row>
      <xdr:rowOff>128880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160920</xdr:rowOff>
    </xdr:from>
    <xdr:to>
      <xdr:col>5</xdr:col>
      <xdr:colOff>825480</xdr:colOff>
      <xdr:row>43</xdr:row>
      <xdr:rowOff>98640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160920</xdr:rowOff>
    </xdr:from>
    <xdr:to>
      <xdr:col>15</xdr:col>
      <xdr:colOff>337680</xdr:colOff>
      <xdr:row>43</xdr:row>
      <xdr:rowOff>98640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160560</xdr:rowOff>
    </xdr:from>
    <xdr:to>
      <xdr:col>5</xdr:col>
      <xdr:colOff>825480</xdr:colOff>
      <xdr:row>42</xdr:row>
      <xdr:rowOff>98280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160560</xdr:rowOff>
    </xdr:from>
    <xdr:to>
      <xdr:col>15</xdr:col>
      <xdr:colOff>337680</xdr:colOff>
      <xdr:row>42</xdr:row>
      <xdr:rowOff>98280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160560</xdr:rowOff>
    </xdr:from>
    <xdr:to>
      <xdr:col>5</xdr:col>
      <xdr:colOff>825480</xdr:colOff>
      <xdr:row>42</xdr:row>
      <xdr:rowOff>98280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160560</xdr:rowOff>
    </xdr:from>
    <xdr:to>
      <xdr:col>15</xdr:col>
      <xdr:colOff>337680</xdr:colOff>
      <xdr:row>42</xdr:row>
      <xdr:rowOff>98280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160560</xdr:rowOff>
    </xdr:from>
    <xdr:to>
      <xdr:col>5</xdr:col>
      <xdr:colOff>825480</xdr:colOff>
      <xdr:row>42</xdr:row>
      <xdr:rowOff>98280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160560</xdr:rowOff>
    </xdr:from>
    <xdr:to>
      <xdr:col>15</xdr:col>
      <xdr:colOff>337680</xdr:colOff>
      <xdr:row>42</xdr:row>
      <xdr:rowOff>98280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160560</xdr:rowOff>
    </xdr:from>
    <xdr:to>
      <xdr:col>5</xdr:col>
      <xdr:colOff>825480</xdr:colOff>
      <xdr:row>42</xdr:row>
      <xdr:rowOff>98280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160560</xdr:rowOff>
    </xdr:from>
    <xdr:to>
      <xdr:col>15</xdr:col>
      <xdr:colOff>337680</xdr:colOff>
      <xdr:row>42</xdr:row>
      <xdr:rowOff>98280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26</xdr:row>
      <xdr:rowOff>0</xdr:rowOff>
    </xdr:from>
    <xdr:to>
      <xdr:col>14</xdr:col>
      <xdr:colOff>73080</xdr:colOff>
      <xdr:row>50</xdr:row>
      <xdr:rowOff>107640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4</xdr:col>
      <xdr:colOff>810360</xdr:colOff>
      <xdr:row>68</xdr:row>
      <xdr:rowOff>107640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44</xdr:row>
      <xdr:rowOff>0</xdr:rowOff>
    </xdr:from>
    <xdr:to>
      <xdr:col>14</xdr:col>
      <xdr:colOff>73080</xdr:colOff>
      <xdr:row>68</xdr:row>
      <xdr:rowOff>107640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0</xdr:colOff>
      <xdr:row>26</xdr:row>
      <xdr:rowOff>0</xdr:rowOff>
    </xdr:from>
    <xdr:ext cx="6480000" cy="5040000"/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10440</xdr:rowOff>
    </xdr:from>
    <xdr:to>
      <xdr:col>6</xdr:col>
      <xdr:colOff>261720</xdr:colOff>
      <xdr:row>42</xdr:row>
      <xdr:rowOff>138600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10440</xdr:rowOff>
    </xdr:from>
    <xdr:to>
      <xdr:col>15</xdr:col>
      <xdr:colOff>25200</xdr:colOff>
      <xdr:row>42</xdr:row>
      <xdr:rowOff>138600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10440</xdr:rowOff>
    </xdr:from>
    <xdr:to>
      <xdr:col>5</xdr:col>
      <xdr:colOff>669240</xdr:colOff>
      <xdr:row>60</xdr:row>
      <xdr:rowOff>138600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2:J12"/>
  <sheetViews>
    <sheetView tabSelected="1" zoomScaleNormal="100" workbookViewId="0"/>
  </sheetViews>
  <sheetFormatPr baseColWidth="10" defaultColWidth="8.6640625" defaultRowHeight="15" x14ac:dyDescent="0.2"/>
  <cols>
    <col min="1" max="1" width="16" customWidth="1"/>
    <col min="2" max="2" width="14" customWidth="1"/>
    <col min="3" max="11" width="16" customWidth="1"/>
  </cols>
  <sheetData>
    <row r="2" spans="2:10" ht="17.25" customHeight="1" x14ac:dyDescent="0.2">
      <c r="B2" s="15" t="s">
        <v>0</v>
      </c>
      <c r="C2" s="14"/>
      <c r="D2" s="14"/>
      <c r="E2" s="14"/>
      <c r="F2" s="14"/>
      <c r="G2" s="14"/>
      <c r="H2" s="14"/>
      <c r="I2" s="14"/>
    </row>
    <row r="3" spans="2:10" ht="15" customHeight="1" x14ac:dyDescent="0.2">
      <c r="B3" s="13" t="s">
        <v>1</v>
      </c>
      <c r="C3" s="14"/>
      <c r="D3" s="14"/>
      <c r="E3" s="14"/>
      <c r="F3" s="14"/>
      <c r="G3" s="14"/>
      <c r="H3" s="14"/>
      <c r="I3" s="14"/>
    </row>
    <row r="5" spans="2:10" ht="15" customHeight="1" x14ac:dyDescent="0.2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2" t="s">
        <v>9</v>
      </c>
      <c r="J5" s="3"/>
    </row>
    <row r="6" spans="2:10" ht="15" customHeight="1" x14ac:dyDescent="0.2">
      <c r="B6" s="4" t="s">
        <v>10</v>
      </c>
      <c r="C6" s="5" t="s">
        <v>11</v>
      </c>
      <c r="D6" s="6">
        <v>110900</v>
      </c>
      <c r="E6" s="6">
        <v>110900</v>
      </c>
      <c r="F6" s="6">
        <v>0</v>
      </c>
      <c r="G6" s="6">
        <v>0</v>
      </c>
      <c r="H6" s="5" t="s">
        <v>12</v>
      </c>
      <c r="I6" s="6">
        <v>110900</v>
      </c>
    </row>
    <row r="7" spans="2:10" ht="15" customHeight="1" x14ac:dyDescent="0.2">
      <c r="B7" s="4" t="s">
        <v>13</v>
      </c>
      <c r="C7" s="5" t="s">
        <v>14</v>
      </c>
      <c r="D7" s="6">
        <v>212780</v>
      </c>
      <c r="E7" s="6">
        <v>151600</v>
      </c>
      <c r="F7" s="6">
        <v>61180</v>
      </c>
      <c r="G7" s="6">
        <v>9</v>
      </c>
      <c r="H7" s="5" t="s">
        <v>15</v>
      </c>
      <c r="I7" s="6">
        <v>323680</v>
      </c>
    </row>
    <row r="8" spans="2:10" ht="15" customHeight="1" x14ac:dyDescent="0.2">
      <c r="B8" s="4" t="s">
        <v>16</v>
      </c>
      <c r="C8" s="5" t="s">
        <v>17</v>
      </c>
      <c r="D8" s="6">
        <v>315500</v>
      </c>
      <c r="E8" s="6">
        <v>167100</v>
      </c>
      <c r="F8" s="6">
        <v>148400</v>
      </c>
      <c r="G8" s="6">
        <v>22</v>
      </c>
      <c r="H8" s="5" t="s">
        <v>18</v>
      </c>
      <c r="I8" s="6">
        <v>639180</v>
      </c>
    </row>
    <row r="9" spans="2:10" ht="15" customHeight="1" x14ac:dyDescent="0.2">
      <c r="B9" s="4" t="s">
        <v>19</v>
      </c>
      <c r="C9" s="5" t="s">
        <v>20</v>
      </c>
      <c r="D9" s="6">
        <v>539970</v>
      </c>
      <c r="E9" s="6">
        <v>293500</v>
      </c>
      <c r="F9" s="6">
        <v>246470</v>
      </c>
      <c r="G9" s="6">
        <v>37</v>
      </c>
      <c r="H9" s="5" t="s">
        <v>21</v>
      </c>
      <c r="I9" s="6">
        <v>1179150</v>
      </c>
    </row>
    <row r="10" spans="2:10" ht="15" customHeight="1" x14ac:dyDescent="0.2">
      <c r="B10" s="4" t="s">
        <v>22</v>
      </c>
      <c r="C10" s="5" t="s">
        <v>23</v>
      </c>
      <c r="D10" s="6">
        <v>672740</v>
      </c>
      <c r="E10" s="6">
        <v>328200</v>
      </c>
      <c r="F10" s="6">
        <v>344540</v>
      </c>
      <c r="G10" s="6">
        <v>50</v>
      </c>
      <c r="H10" s="5" t="s">
        <v>24</v>
      </c>
      <c r="I10" s="6">
        <v>1851890</v>
      </c>
    </row>
    <row r="11" spans="2:10" ht="15" customHeight="1" x14ac:dyDescent="0.2">
      <c r="B11" s="7" t="s">
        <v>25</v>
      </c>
      <c r="C11" s="8" t="s">
        <v>12</v>
      </c>
      <c r="D11" s="9">
        <v>1851890</v>
      </c>
      <c r="E11" s="9">
        <v>1051300</v>
      </c>
      <c r="F11" s="9">
        <v>800590</v>
      </c>
      <c r="G11" s="9">
        <v>118</v>
      </c>
      <c r="H11" s="8" t="s">
        <v>12</v>
      </c>
    </row>
    <row r="12" spans="2:10" ht="15" customHeight="1" x14ac:dyDescent="0.2">
      <c r="B12" s="7" t="s">
        <v>26</v>
      </c>
      <c r="C12" s="8" t="s">
        <v>12</v>
      </c>
      <c r="D12" s="9">
        <v>167484932</v>
      </c>
      <c r="E12" s="8" t="s">
        <v>12</v>
      </c>
      <c r="F12" s="8" t="s">
        <v>12</v>
      </c>
      <c r="G12" s="8" t="s">
        <v>12</v>
      </c>
      <c r="H12" s="8" t="s">
        <v>12</v>
      </c>
    </row>
  </sheetData>
  <mergeCells count="2">
    <mergeCell ref="B3:I3"/>
    <mergeCell ref="B2:I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B2:H19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11" width="16" customWidth="1"/>
  </cols>
  <sheetData>
    <row r="2" spans="2:8" ht="17.25" customHeight="1" x14ac:dyDescent="0.2">
      <c r="B2" s="15" t="s">
        <v>27</v>
      </c>
      <c r="C2" s="14"/>
      <c r="D2" s="14"/>
      <c r="E2" s="14"/>
      <c r="F2" s="14"/>
      <c r="G2" s="14"/>
      <c r="H2" s="14"/>
    </row>
    <row r="3" spans="2:8" ht="15" customHeight="1" x14ac:dyDescent="0.2">
      <c r="B3" s="13" t="s">
        <v>28</v>
      </c>
      <c r="C3" s="14"/>
      <c r="D3" s="14"/>
      <c r="E3" s="14"/>
      <c r="F3" s="14"/>
      <c r="G3" s="14"/>
      <c r="H3" s="14"/>
    </row>
    <row r="5" spans="2:8" ht="15" customHeight="1" x14ac:dyDescent="0.2">
      <c r="B5" s="1" t="s">
        <v>29</v>
      </c>
      <c r="C5" s="1" t="s">
        <v>30</v>
      </c>
      <c r="D5" s="1" t="s">
        <v>31</v>
      </c>
      <c r="E5" s="1" t="s">
        <v>5</v>
      </c>
      <c r="F5" s="1" t="s">
        <v>7</v>
      </c>
      <c r="G5" s="1" t="s">
        <v>6</v>
      </c>
      <c r="H5" s="1" t="s">
        <v>4</v>
      </c>
    </row>
    <row r="6" spans="2:8" ht="15" customHeight="1" x14ac:dyDescent="0.2">
      <c r="B6" s="4" t="s">
        <v>32</v>
      </c>
      <c r="C6" s="6">
        <v>6</v>
      </c>
      <c r="D6" s="6">
        <v>2500</v>
      </c>
      <c r="E6" s="6">
        <v>15000</v>
      </c>
      <c r="F6" s="6">
        <v>0</v>
      </c>
      <c r="G6" s="6">
        <v>0</v>
      </c>
      <c r="H6" s="6">
        <v>15000</v>
      </c>
    </row>
    <row r="7" spans="2:8" ht="15" customHeight="1" x14ac:dyDescent="0.2">
      <c r="B7" s="4" t="s">
        <v>33</v>
      </c>
      <c r="C7" s="6">
        <v>1</v>
      </c>
      <c r="D7" s="6">
        <v>13000</v>
      </c>
      <c r="E7" s="6">
        <v>13000</v>
      </c>
      <c r="F7" s="6">
        <v>0</v>
      </c>
      <c r="G7" s="6">
        <v>0</v>
      </c>
      <c r="H7" s="6">
        <v>13000</v>
      </c>
    </row>
    <row r="8" spans="2:8" ht="15" customHeight="1" x14ac:dyDescent="0.2">
      <c r="B8" s="4" t="s">
        <v>34</v>
      </c>
      <c r="C8" s="6">
        <v>2</v>
      </c>
      <c r="D8" s="6">
        <v>29700</v>
      </c>
      <c r="E8" s="6">
        <v>59400</v>
      </c>
      <c r="F8" s="6">
        <v>0</v>
      </c>
      <c r="G8" s="6">
        <v>0</v>
      </c>
      <c r="H8" s="6">
        <v>59400</v>
      </c>
    </row>
    <row r="9" spans="2:8" ht="15" customHeight="1" x14ac:dyDescent="0.2">
      <c r="B9" s="4" t="s">
        <v>35</v>
      </c>
      <c r="C9" s="6">
        <v>4</v>
      </c>
      <c r="D9" s="6">
        <v>3500</v>
      </c>
      <c r="E9" s="6">
        <v>14000</v>
      </c>
      <c r="F9" s="6">
        <v>0</v>
      </c>
      <c r="G9" s="6">
        <v>0</v>
      </c>
      <c r="H9" s="6">
        <v>14000</v>
      </c>
    </row>
    <row r="10" spans="2:8" ht="15" customHeight="1" x14ac:dyDescent="0.2">
      <c r="B10" s="4" t="s">
        <v>36</v>
      </c>
      <c r="C10" s="6">
        <v>2</v>
      </c>
      <c r="D10" s="6">
        <v>1500</v>
      </c>
      <c r="E10" s="6">
        <v>3000</v>
      </c>
      <c r="F10" s="6">
        <v>0</v>
      </c>
      <c r="G10" s="6">
        <v>0</v>
      </c>
      <c r="H10" s="6">
        <v>3000</v>
      </c>
    </row>
    <row r="11" spans="2:8" ht="15" customHeight="1" x14ac:dyDescent="0.2">
      <c r="B11" s="4" t="s">
        <v>37</v>
      </c>
      <c r="C11" s="6">
        <v>1</v>
      </c>
      <c r="D11" s="6">
        <v>6500</v>
      </c>
      <c r="E11" s="6">
        <v>6500</v>
      </c>
      <c r="F11" s="6">
        <v>0</v>
      </c>
      <c r="G11" s="6">
        <v>0</v>
      </c>
      <c r="H11" s="6">
        <v>6500</v>
      </c>
    </row>
    <row r="12" spans="2:8" ht="15" customHeight="1" x14ac:dyDescent="0.2">
      <c r="B12" s="7" t="s">
        <v>38</v>
      </c>
      <c r="C12" s="9">
        <v>16</v>
      </c>
      <c r="D12" s="8" t="s">
        <v>12</v>
      </c>
      <c r="E12" s="9">
        <v>110900</v>
      </c>
      <c r="F12" s="9">
        <v>0</v>
      </c>
      <c r="G12" s="9">
        <v>0</v>
      </c>
      <c r="H12" s="9">
        <v>110900</v>
      </c>
    </row>
    <row r="13" spans="2:8" ht="15" customHeight="1" x14ac:dyDescent="0.2">
      <c r="B13" s="7" t="s">
        <v>39</v>
      </c>
      <c r="C13" s="8" t="s">
        <v>12</v>
      </c>
      <c r="D13" s="8" t="s">
        <v>12</v>
      </c>
      <c r="E13" s="8" t="s">
        <v>12</v>
      </c>
      <c r="F13" s="8" t="s">
        <v>12</v>
      </c>
      <c r="G13" s="8" t="s">
        <v>12</v>
      </c>
      <c r="H13" s="9">
        <v>10029796</v>
      </c>
    </row>
    <row r="15" spans="2:8" ht="15" customHeight="1" x14ac:dyDescent="0.2">
      <c r="B15" s="10" t="s">
        <v>40</v>
      </c>
    </row>
    <row r="16" spans="2:8" ht="15" customHeight="1" x14ac:dyDescent="0.2">
      <c r="B16" s="11" t="s">
        <v>41</v>
      </c>
      <c r="C16" s="12">
        <v>110900</v>
      </c>
    </row>
    <row r="17" spans="2:3" ht="15" customHeight="1" x14ac:dyDescent="0.2">
      <c r="B17" s="11" t="s">
        <v>42</v>
      </c>
      <c r="C17" s="12">
        <v>10029796</v>
      </c>
    </row>
    <row r="18" spans="2:3" ht="15" customHeight="1" x14ac:dyDescent="0.2">
      <c r="B18" s="11" t="s">
        <v>43</v>
      </c>
      <c r="C18" s="12">
        <v>16</v>
      </c>
    </row>
    <row r="19" spans="2:3" ht="15" customHeight="1" x14ac:dyDescent="0.2">
      <c r="B19" s="11" t="s">
        <v>44</v>
      </c>
      <c r="C19" s="12">
        <v>6931</v>
      </c>
    </row>
  </sheetData>
  <mergeCells count="2">
    <mergeCell ref="B3:H3"/>
    <mergeCell ref="B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2A4A"/>
  </sheetPr>
  <dimension ref="B2:H18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11" width="16" customWidth="1"/>
  </cols>
  <sheetData>
    <row r="2" spans="2:8" ht="17.25" customHeight="1" x14ac:dyDescent="0.2">
      <c r="B2" s="15" t="s">
        <v>45</v>
      </c>
      <c r="C2" s="14"/>
      <c r="D2" s="14"/>
      <c r="E2" s="14"/>
      <c r="F2" s="14"/>
      <c r="G2" s="14"/>
      <c r="H2" s="14"/>
    </row>
    <row r="3" spans="2:8" ht="15" customHeight="1" x14ac:dyDescent="0.2">
      <c r="B3" s="13" t="s">
        <v>46</v>
      </c>
      <c r="C3" s="14"/>
      <c r="D3" s="14"/>
      <c r="E3" s="14"/>
      <c r="F3" s="14"/>
      <c r="G3" s="14"/>
      <c r="H3" s="14"/>
    </row>
    <row r="5" spans="2:8" ht="15" customHeight="1" x14ac:dyDescent="0.2">
      <c r="B5" s="1" t="s">
        <v>29</v>
      </c>
      <c r="C5" s="1" t="s">
        <v>30</v>
      </c>
      <c r="D5" s="1" t="s">
        <v>31</v>
      </c>
      <c r="E5" s="1" t="s">
        <v>5</v>
      </c>
      <c r="F5" s="1" t="s">
        <v>7</v>
      </c>
      <c r="G5" s="1" t="s">
        <v>6</v>
      </c>
      <c r="H5" s="1" t="s">
        <v>4</v>
      </c>
    </row>
    <row r="6" spans="2:8" ht="15" customHeight="1" x14ac:dyDescent="0.2">
      <c r="B6" s="4" t="s">
        <v>32</v>
      </c>
      <c r="C6" s="6">
        <v>9</v>
      </c>
      <c r="D6" s="6">
        <v>2500</v>
      </c>
      <c r="E6" s="6">
        <v>22500</v>
      </c>
      <c r="F6" s="6">
        <v>6</v>
      </c>
      <c r="G6" s="6">
        <v>10500</v>
      </c>
      <c r="H6" s="6">
        <v>33000</v>
      </c>
    </row>
    <row r="7" spans="2:8" ht="15" customHeight="1" x14ac:dyDescent="0.2">
      <c r="B7" s="4" t="s">
        <v>33</v>
      </c>
      <c r="C7" s="6">
        <v>1</v>
      </c>
      <c r="D7" s="6">
        <v>13000</v>
      </c>
      <c r="E7" s="6">
        <v>13000</v>
      </c>
      <c r="F7" s="6">
        <v>1</v>
      </c>
      <c r="G7" s="6">
        <v>9100</v>
      </c>
      <c r="H7" s="6">
        <v>22100</v>
      </c>
    </row>
    <row r="8" spans="2:8" ht="15" customHeight="1" x14ac:dyDescent="0.2">
      <c r="B8" s="4" t="s">
        <v>34</v>
      </c>
      <c r="C8" s="6">
        <v>3</v>
      </c>
      <c r="D8" s="6">
        <v>29700</v>
      </c>
      <c r="E8" s="6">
        <v>89100</v>
      </c>
      <c r="F8" s="6">
        <v>2</v>
      </c>
      <c r="G8" s="6">
        <v>41580</v>
      </c>
      <c r="H8" s="6">
        <v>130680</v>
      </c>
    </row>
    <row r="9" spans="2:8" ht="15" customHeight="1" x14ac:dyDescent="0.2">
      <c r="B9" s="4" t="s">
        <v>35</v>
      </c>
      <c r="C9" s="6">
        <v>4</v>
      </c>
      <c r="D9" s="6">
        <v>3500</v>
      </c>
      <c r="E9" s="6">
        <v>14000</v>
      </c>
      <c r="F9" s="6">
        <v>0</v>
      </c>
      <c r="G9" s="6">
        <v>0</v>
      </c>
      <c r="H9" s="6">
        <v>14000</v>
      </c>
    </row>
    <row r="10" spans="2:8" ht="15" customHeight="1" x14ac:dyDescent="0.2">
      <c r="B10" s="4" t="s">
        <v>37</v>
      </c>
      <c r="C10" s="6">
        <v>2</v>
      </c>
      <c r="D10" s="6">
        <v>6500</v>
      </c>
      <c r="E10" s="6">
        <v>13000</v>
      </c>
      <c r="F10" s="6">
        <v>0</v>
      </c>
      <c r="G10" s="6">
        <v>0</v>
      </c>
      <c r="H10" s="6">
        <v>13000</v>
      </c>
    </row>
    <row r="11" spans="2:8" ht="15" customHeight="1" x14ac:dyDescent="0.2">
      <c r="B11" s="7" t="s">
        <v>38</v>
      </c>
      <c r="C11" s="9">
        <v>19</v>
      </c>
      <c r="D11" s="8" t="s">
        <v>12</v>
      </c>
      <c r="E11" s="9">
        <v>151600</v>
      </c>
      <c r="F11" s="9">
        <v>9</v>
      </c>
      <c r="G11" s="9">
        <v>61180</v>
      </c>
      <c r="H11" s="9">
        <v>212780</v>
      </c>
    </row>
    <row r="12" spans="2:8" ht="15" customHeight="1" x14ac:dyDescent="0.2">
      <c r="B12" s="7" t="s">
        <v>39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9">
        <v>19243823</v>
      </c>
    </row>
    <row r="14" spans="2:8" ht="15" customHeight="1" x14ac:dyDescent="0.2">
      <c r="B14" s="10" t="s">
        <v>40</v>
      </c>
    </row>
    <row r="15" spans="2:8" ht="15" customHeight="1" x14ac:dyDescent="0.2">
      <c r="B15" s="11" t="s">
        <v>41</v>
      </c>
      <c r="C15" s="12">
        <v>212780</v>
      </c>
    </row>
    <row r="16" spans="2:8" ht="15" customHeight="1" x14ac:dyDescent="0.2">
      <c r="B16" s="11" t="s">
        <v>42</v>
      </c>
      <c r="C16" s="12">
        <v>19243823</v>
      </c>
    </row>
    <row r="17" spans="2:3" ht="15" customHeight="1" x14ac:dyDescent="0.2">
      <c r="B17" s="11" t="s">
        <v>43</v>
      </c>
      <c r="C17" s="12">
        <v>19</v>
      </c>
    </row>
    <row r="18" spans="2:3" ht="15" customHeight="1" x14ac:dyDescent="0.2">
      <c r="B18" s="11" t="s">
        <v>44</v>
      </c>
      <c r="C18" s="12">
        <v>11199</v>
      </c>
    </row>
  </sheetData>
  <mergeCells count="2">
    <mergeCell ref="B3:H3"/>
    <mergeCell ref="B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2A4A"/>
  </sheetPr>
  <dimension ref="B2:H18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11" width="16" customWidth="1"/>
  </cols>
  <sheetData>
    <row r="2" spans="2:8" ht="17.25" customHeight="1" x14ac:dyDescent="0.2">
      <c r="B2" s="15" t="s">
        <v>47</v>
      </c>
      <c r="C2" s="14"/>
      <c r="D2" s="14"/>
      <c r="E2" s="14"/>
      <c r="F2" s="14"/>
      <c r="G2" s="14"/>
      <c r="H2" s="14"/>
    </row>
    <row r="3" spans="2:8" ht="15" customHeight="1" x14ac:dyDescent="0.2">
      <c r="B3" s="13" t="s">
        <v>48</v>
      </c>
      <c r="C3" s="14"/>
      <c r="D3" s="14"/>
      <c r="E3" s="14"/>
      <c r="F3" s="14"/>
      <c r="G3" s="14"/>
      <c r="H3" s="14"/>
    </row>
    <row r="5" spans="2:8" ht="15" customHeight="1" x14ac:dyDescent="0.2">
      <c r="B5" s="1" t="s">
        <v>29</v>
      </c>
      <c r="C5" s="1" t="s">
        <v>30</v>
      </c>
      <c r="D5" s="1" t="s">
        <v>31</v>
      </c>
      <c r="E5" s="1" t="s">
        <v>5</v>
      </c>
      <c r="F5" s="1" t="s">
        <v>7</v>
      </c>
      <c r="G5" s="1" t="s">
        <v>6</v>
      </c>
      <c r="H5" s="1" t="s">
        <v>4</v>
      </c>
    </row>
    <row r="6" spans="2:8" ht="15" customHeight="1" x14ac:dyDescent="0.2">
      <c r="B6" s="4" t="s">
        <v>32</v>
      </c>
      <c r="C6" s="6">
        <v>10</v>
      </c>
      <c r="D6" s="6">
        <v>2500</v>
      </c>
      <c r="E6" s="6">
        <v>25000</v>
      </c>
      <c r="F6" s="6">
        <v>15</v>
      </c>
      <c r="G6" s="6">
        <v>26250</v>
      </c>
      <c r="H6" s="6">
        <v>51250</v>
      </c>
    </row>
    <row r="7" spans="2:8" ht="15" customHeight="1" x14ac:dyDescent="0.2">
      <c r="B7" s="4" t="s">
        <v>33</v>
      </c>
      <c r="C7" s="6">
        <v>2</v>
      </c>
      <c r="D7" s="6">
        <v>13000</v>
      </c>
      <c r="E7" s="6">
        <v>26000</v>
      </c>
      <c r="F7" s="6">
        <v>2</v>
      </c>
      <c r="G7" s="6">
        <v>18200</v>
      </c>
      <c r="H7" s="6">
        <v>44200</v>
      </c>
    </row>
    <row r="8" spans="2:8" ht="15" customHeight="1" x14ac:dyDescent="0.2">
      <c r="B8" s="4" t="s">
        <v>34</v>
      </c>
      <c r="C8" s="6">
        <v>3</v>
      </c>
      <c r="D8" s="6">
        <v>29700</v>
      </c>
      <c r="E8" s="6">
        <v>89100</v>
      </c>
      <c r="F8" s="6">
        <v>5</v>
      </c>
      <c r="G8" s="6">
        <v>103950</v>
      </c>
      <c r="H8" s="6">
        <v>193050</v>
      </c>
    </row>
    <row r="9" spans="2:8" ht="15" customHeight="1" x14ac:dyDescent="0.2">
      <c r="B9" s="4" t="s">
        <v>35</v>
      </c>
      <c r="C9" s="6">
        <v>4</v>
      </c>
      <c r="D9" s="6">
        <v>3500</v>
      </c>
      <c r="E9" s="6">
        <v>14000</v>
      </c>
      <c r="F9" s="6">
        <v>0</v>
      </c>
      <c r="G9" s="6">
        <v>0</v>
      </c>
      <c r="H9" s="6">
        <v>14000</v>
      </c>
    </row>
    <row r="10" spans="2:8" ht="15" customHeight="1" x14ac:dyDescent="0.2">
      <c r="B10" s="4" t="s">
        <v>37</v>
      </c>
      <c r="C10" s="6">
        <v>2</v>
      </c>
      <c r="D10" s="6">
        <v>6500</v>
      </c>
      <c r="E10" s="6">
        <v>13000</v>
      </c>
      <c r="F10" s="6">
        <v>0</v>
      </c>
      <c r="G10" s="6">
        <v>0</v>
      </c>
      <c r="H10" s="6">
        <v>13000</v>
      </c>
    </row>
    <row r="11" spans="2:8" ht="15" customHeight="1" x14ac:dyDescent="0.2">
      <c r="B11" s="7" t="s">
        <v>38</v>
      </c>
      <c r="C11" s="9">
        <v>21</v>
      </c>
      <c r="D11" s="8" t="s">
        <v>12</v>
      </c>
      <c r="E11" s="9">
        <v>167100</v>
      </c>
      <c r="F11" s="9">
        <v>22</v>
      </c>
      <c r="G11" s="9">
        <v>148400</v>
      </c>
      <c r="H11" s="9">
        <v>315500</v>
      </c>
    </row>
    <row r="12" spans="2:8" ht="15" customHeight="1" x14ac:dyDescent="0.2">
      <c r="B12" s="7" t="s">
        <v>39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9">
        <v>28533820</v>
      </c>
    </row>
    <row r="14" spans="2:8" ht="15" customHeight="1" x14ac:dyDescent="0.2">
      <c r="B14" s="10" t="s">
        <v>40</v>
      </c>
    </row>
    <row r="15" spans="2:8" ht="15" customHeight="1" x14ac:dyDescent="0.2">
      <c r="B15" s="11" t="s">
        <v>41</v>
      </c>
      <c r="C15" s="12">
        <v>315500</v>
      </c>
    </row>
    <row r="16" spans="2:8" ht="15" customHeight="1" x14ac:dyDescent="0.2">
      <c r="B16" s="11" t="s">
        <v>42</v>
      </c>
      <c r="C16" s="12">
        <v>28533820</v>
      </c>
    </row>
    <row r="17" spans="2:3" ht="15" customHeight="1" x14ac:dyDescent="0.2">
      <c r="B17" s="11" t="s">
        <v>43</v>
      </c>
      <c r="C17" s="12">
        <v>21</v>
      </c>
    </row>
    <row r="18" spans="2:3" ht="15" customHeight="1" x14ac:dyDescent="0.2">
      <c r="B18" s="11" t="s">
        <v>44</v>
      </c>
      <c r="C18" s="12">
        <v>15024</v>
      </c>
    </row>
  </sheetData>
  <mergeCells count="2">
    <mergeCell ref="B3:H3"/>
    <mergeCell ref="B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2A4A"/>
  </sheetPr>
  <dimension ref="B2:H18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11" width="16" customWidth="1"/>
  </cols>
  <sheetData>
    <row r="2" spans="2:8" ht="17.25" customHeight="1" x14ac:dyDescent="0.2">
      <c r="B2" s="15" t="s">
        <v>49</v>
      </c>
      <c r="C2" s="14"/>
      <c r="D2" s="14"/>
      <c r="E2" s="14"/>
      <c r="F2" s="14"/>
      <c r="G2" s="14"/>
      <c r="H2" s="14"/>
    </row>
    <row r="3" spans="2:8" ht="15" customHeight="1" x14ac:dyDescent="0.2">
      <c r="B3" s="13" t="s">
        <v>50</v>
      </c>
      <c r="C3" s="14"/>
      <c r="D3" s="14"/>
      <c r="E3" s="14"/>
      <c r="F3" s="14"/>
      <c r="G3" s="14"/>
      <c r="H3" s="14"/>
    </row>
    <row r="5" spans="2:8" ht="15" customHeight="1" x14ac:dyDescent="0.2">
      <c r="B5" s="1" t="s">
        <v>29</v>
      </c>
      <c r="C5" s="1" t="s">
        <v>30</v>
      </c>
      <c r="D5" s="1" t="s">
        <v>31</v>
      </c>
      <c r="E5" s="1" t="s">
        <v>5</v>
      </c>
      <c r="F5" s="1" t="s">
        <v>7</v>
      </c>
      <c r="G5" s="1" t="s">
        <v>6</v>
      </c>
      <c r="H5" s="1" t="s">
        <v>4</v>
      </c>
    </row>
    <row r="6" spans="2:8" ht="15" customHeight="1" x14ac:dyDescent="0.2">
      <c r="B6" s="4" t="s">
        <v>32</v>
      </c>
      <c r="C6" s="6">
        <v>16</v>
      </c>
      <c r="D6" s="6">
        <v>2500</v>
      </c>
      <c r="E6" s="6">
        <v>40000</v>
      </c>
      <c r="F6" s="6">
        <v>25</v>
      </c>
      <c r="G6" s="6">
        <v>43750</v>
      </c>
      <c r="H6" s="6">
        <v>83750</v>
      </c>
    </row>
    <row r="7" spans="2:8" ht="15" customHeight="1" x14ac:dyDescent="0.2">
      <c r="B7" s="4" t="s">
        <v>33</v>
      </c>
      <c r="C7" s="6">
        <v>3</v>
      </c>
      <c r="D7" s="6">
        <v>13000</v>
      </c>
      <c r="E7" s="6">
        <v>39000</v>
      </c>
      <c r="F7" s="6">
        <v>4</v>
      </c>
      <c r="G7" s="6">
        <v>36400</v>
      </c>
      <c r="H7" s="6">
        <v>75400</v>
      </c>
    </row>
    <row r="8" spans="2:8" ht="15" customHeight="1" x14ac:dyDescent="0.2">
      <c r="B8" s="4" t="s">
        <v>34</v>
      </c>
      <c r="C8" s="6">
        <v>5</v>
      </c>
      <c r="D8" s="6">
        <v>29700</v>
      </c>
      <c r="E8" s="6">
        <v>148500</v>
      </c>
      <c r="F8" s="6">
        <v>8</v>
      </c>
      <c r="G8" s="6">
        <v>166320</v>
      </c>
      <c r="H8" s="6">
        <v>314820</v>
      </c>
    </row>
    <row r="9" spans="2:8" ht="15" customHeight="1" x14ac:dyDescent="0.2">
      <c r="B9" s="4" t="s">
        <v>35</v>
      </c>
      <c r="C9" s="6">
        <v>4</v>
      </c>
      <c r="D9" s="6">
        <v>3500</v>
      </c>
      <c r="E9" s="6">
        <v>14000</v>
      </c>
      <c r="F9" s="6">
        <v>0</v>
      </c>
      <c r="G9" s="6">
        <v>0</v>
      </c>
      <c r="H9" s="6">
        <v>14000</v>
      </c>
    </row>
    <row r="10" spans="2:8" ht="15" customHeight="1" x14ac:dyDescent="0.2">
      <c r="B10" s="4" t="s">
        <v>37</v>
      </c>
      <c r="C10" s="6">
        <v>8</v>
      </c>
      <c r="D10" s="6">
        <v>6500</v>
      </c>
      <c r="E10" s="6">
        <v>52000</v>
      </c>
      <c r="F10" s="6">
        <v>0</v>
      </c>
      <c r="G10" s="6">
        <v>0</v>
      </c>
      <c r="H10" s="6">
        <v>52000</v>
      </c>
    </row>
    <row r="11" spans="2:8" ht="15" customHeight="1" x14ac:dyDescent="0.2">
      <c r="B11" s="7" t="s">
        <v>38</v>
      </c>
      <c r="C11" s="9">
        <v>36</v>
      </c>
      <c r="D11" s="8" t="s">
        <v>12</v>
      </c>
      <c r="E11" s="9">
        <v>293500</v>
      </c>
      <c r="F11" s="9">
        <v>37</v>
      </c>
      <c r="G11" s="9">
        <v>246470</v>
      </c>
      <c r="H11" s="9">
        <v>539970</v>
      </c>
    </row>
    <row r="12" spans="2:8" ht="15" customHeight="1" x14ac:dyDescent="0.2">
      <c r="B12" s="7" t="s">
        <v>39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9">
        <v>48834887</v>
      </c>
    </row>
    <row r="14" spans="2:8" ht="15" customHeight="1" x14ac:dyDescent="0.2">
      <c r="B14" s="10" t="s">
        <v>40</v>
      </c>
    </row>
    <row r="15" spans="2:8" ht="15" customHeight="1" x14ac:dyDescent="0.2">
      <c r="B15" s="11" t="s">
        <v>41</v>
      </c>
      <c r="C15" s="12">
        <v>539970</v>
      </c>
    </row>
    <row r="16" spans="2:8" ht="15" customHeight="1" x14ac:dyDescent="0.2">
      <c r="B16" s="11" t="s">
        <v>42</v>
      </c>
      <c r="C16" s="12">
        <v>48834887</v>
      </c>
    </row>
    <row r="17" spans="2:3" ht="15" customHeight="1" x14ac:dyDescent="0.2">
      <c r="B17" s="11" t="s">
        <v>43</v>
      </c>
      <c r="C17" s="12">
        <v>36</v>
      </c>
    </row>
    <row r="18" spans="2:3" ht="15" customHeight="1" x14ac:dyDescent="0.2">
      <c r="B18" s="11" t="s">
        <v>44</v>
      </c>
      <c r="C18" s="12">
        <v>14999</v>
      </c>
    </row>
  </sheetData>
  <mergeCells count="2">
    <mergeCell ref="B3:H3"/>
    <mergeCell ref="B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2A4A"/>
  </sheetPr>
  <dimension ref="B2:H18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11" width="16" customWidth="1"/>
  </cols>
  <sheetData>
    <row r="2" spans="2:8" ht="17.25" customHeight="1" x14ac:dyDescent="0.2">
      <c r="B2" s="15" t="s">
        <v>51</v>
      </c>
      <c r="C2" s="14"/>
      <c r="D2" s="14"/>
      <c r="E2" s="14"/>
      <c r="F2" s="14"/>
      <c r="G2" s="14"/>
      <c r="H2" s="14"/>
    </row>
    <row r="3" spans="2:8" ht="15" customHeight="1" x14ac:dyDescent="0.2">
      <c r="B3" s="13" t="s">
        <v>52</v>
      </c>
      <c r="C3" s="14"/>
      <c r="D3" s="14"/>
      <c r="E3" s="14"/>
      <c r="F3" s="14"/>
      <c r="G3" s="14"/>
      <c r="H3" s="14"/>
    </row>
    <row r="5" spans="2:8" ht="15" customHeight="1" x14ac:dyDescent="0.2">
      <c r="B5" s="1" t="s">
        <v>29</v>
      </c>
      <c r="C5" s="1" t="s">
        <v>30</v>
      </c>
      <c r="D5" s="1" t="s">
        <v>31</v>
      </c>
      <c r="E5" s="1" t="s">
        <v>5</v>
      </c>
      <c r="F5" s="1" t="s">
        <v>7</v>
      </c>
      <c r="G5" s="1" t="s">
        <v>6</v>
      </c>
      <c r="H5" s="1" t="s">
        <v>4</v>
      </c>
    </row>
    <row r="6" spans="2:8" ht="15" customHeight="1" x14ac:dyDescent="0.2">
      <c r="B6" s="4" t="s">
        <v>32</v>
      </c>
      <c r="C6" s="6">
        <v>18</v>
      </c>
      <c r="D6" s="6">
        <v>2500</v>
      </c>
      <c r="E6" s="6">
        <v>45000</v>
      </c>
      <c r="F6" s="6">
        <v>34</v>
      </c>
      <c r="G6" s="6">
        <v>63000</v>
      </c>
      <c r="H6" s="6">
        <v>108000</v>
      </c>
    </row>
    <row r="7" spans="2:8" ht="15" customHeight="1" x14ac:dyDescent="0.2">
      <c r="B7" s="4" t="s">
        <v>33</v>
      </c>
      <c r="C7" s="6">
        <v>3</v>
      </c>
      <c r="D7" s="6">
        <v>13000</v>
      </c>
      <c r="E7" s="6">
        <v>39000</v>
      </c>
      <c r="F7" s="6">
        <v>5</v>
      </c>
      <c r="G7" s="6">
        <v>45500</v>
      </c>
      <c r="H7" s="6">
        <v>84500</v>
      </c>
    </row>
    <row r="8" spans="2:8" ht="15" customHeight="1" x14ac:dyDescent="0.2">
      <c r="B8" s="4" t="s">
        <v>34</v>
      </c>
      <c r="C8" s="6">
        <v>6</v>
      </c>
      <c r="D8" s="6">
        <v>29700</v>
      </c>
      <c r="E8" s="6">
        <v>178200</v>
      </c>
      <c r="F8" s="6">
        <v>11</v>
      </c>
      <c r="G8" s="6">
        <v>236040</v>
      </c>
      <c r="H8" s="6">
        <v>414240</v>
      </c>
    </row>
    <row r="9" spans="2:8" ht="15" customHeight="1" x14ac:dyDescent="0.2">
      <c r="B9" s="4" t="s">
        <v>35</v>
      </c>
      <c r="C9" s="6">
        <v>4</v>
      </c>
      <c r="D9" s="6">
        <v>3500</v>
      </c>
      <c r="E9" s="6">
        <v>14000</v>
      </c>
      <c r="F9" s="6">
        <v>0</v>
      </c>
      <c r="G9" s="6">
        <v>0</v>
      </c>
      <c r="H9" s="6">
        <v>14000</v>
      </c>
    </row>
    <row r="10" spans="2:8" ht="15" customHeight="1" x14ac:dyDescent="0.2">
      <c r="B10" s="4" t="s">
        <v>37</v>
      </c>
      <c r="C10" s="6">
        <v>8</v>
      </c>
      <c r="D10" s="6">
        <v>6500</v>
      </c>
      <c r="E10" s="6">
        <v>52000</v>
      </c>
      <c r="F10" s="6">
        <v>0</v>
      </c>
      <c r="G10" s="6">
        <v>0</v>
      </c>
      <c r="H10" s="6">
        <v>52000</v>
      </c>
    </row>
    <row r="11" spans="2:8" ht="15" customHeight="1" x14ac:dyDescent="0.2">
      <c r="B11" s="7" t="s">
        <v>38</v>
      </c>
      <c r="C11" s="9">
        <v>39</v>
      </c>
      <c r="D11" s="8" t="s">
        <v>12</v>
      </c>
      <c r="E11" s="9">
        <v>328200</v>
      </c>
      <c r="F11" s="9">
        <v>50</v>
      </c>
      <c r="G11" s="9">
        <v>344540</v>
      </c>
      <c r="H11" s="9">
        <v>672740</v>
      </c>
    </row>
    <row r="12" spans="2:8" ht="15" customHeight="1" x14ac:dyDescent="0.2">
      <c r="B12" s="7" t="s">
        <v>39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9">
        <v>60842606</v>
      </c>
    </row>
    <row r="14" spans="2:8" ht="15" customHeight="1" x14ac:dyDescent="0.2">
      <c r="B14" s="10" t="s">
        <v>40</v>
      </c>
    </row>
    <row r="15" spans="2:8" ht="15" customHeight="1" x14ac:dyDescent="0.2">
      <c r="B15" s="11" t="s">
        <v>41</v>
      </c>
      <c r="C15" s="12">
        <v>672740</v>
      </c>
    </row>
    <row r="16" spans="2:8" ht="15" customHeight="1" x14ac:dyDescent="0.2">
      <c r="B16" s="11" t="s">
        <v>42</v>
      </c>
      <c r="C16" s="12">
        <v>60842606</v>
      </c>
    </row>
    <row r="17" spans="2:3" ht="15" customHeight="1" x14ac:dyDescent="0.2">
      <c r="B17" s="11" t="s">
        <v>43</v>
      </c>
      <c r="C17" s="12">
        <v>39</v>
      </c>
    </row>
    <row r="18" spans="2:3" ht="15" customHeight="1" x14ac:dyDescent="0.2">
      <c r="B18" s="11" t="s">
        <v>44</v>
      </c>
      <c r="C18" s="12">
        <v>17250</v>
      </c>
    </row>
  </sheetData>
  <mergeCells count="2">
    <mergeCell ref="B3:H3"/>
    <mergeCell ref="B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2A4A"/>
  </sheetPr>
  <dimension ref="B2:H25"/>
  <sheetViews>
    <sheetView zoomScaleNormal="100" workbookViewId="0"/>
  </sheetViews>
  <sheetFormatPr baseColWidth="10" defaultColWidth="8.6640625" defaultRowHeight="15" x14ac:dyDescent="0.2"/>
  <cols>
    <col min="1" max="1" width="18" customWidth="1"/>
    <col min="2" max="2" width="24" customWidth="1"/>
    <col min="3" max="13" width="18" customWidth="1"/>
  </cols>
  <sheetData>
    <row r="2" spans="2:8" ht="17.25" customHeight="1" x14ac:dyDescent="0.2">
      <c r="B2" s="15" t="s">
        <v>53</v>
      </c>
      <c r="C2" s="14"/>
      <c r="D2" s="14"/>
      <c r="E2" s="14"/>
      <c r="F2" s="14"/>
      <c r="G2" s="14"/>
      <c r="H2" s="14"/>
    </row>
    <row r="3" spans="2:8" ht="15" customHeight="1" x14ac:dyDescent="0.2">
      <c r="B3" s="13" t="s">
        <v>54</v>
      </c>
      <c r="C3" s="14"/>
      <c r="D3" s="14"/>
      <c r="E3" s="14"/>
      <c r="F3" s="14"/>
      <c r="G3" s="14"/>
      <c r="H3" s="14"/>
    </row>
    <row r="5" spans="2:8" ht="26.25" customHeight="1" x14ac:dyDescent="0.2"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</row>
    <row r="6" spans="2:8" ht="15" customHeight="1" x14ac:dyDescent="0.2">
      <c r="B6" s="4" t="s">
        <v>60</v>
      </c>
      <c r="C6" s="5" t="s">
        <v>61</v>
      </c>
      <c r="D6" s="6">
        <v>600000</v>
      </c>
      <c r="E6" s="6">
        <v>20</v>
      </c>
      <c r="F6" s="6">
        <v>1200</v>
      </c>
    </row>
    <row r="7" spans="2:8" ht="15" customHeight="1" x14ac:dyDescent="0.2">
      <c r="B7" s="4" t="s">
        <v>62</v>
      </c>
      <c r="C7" s="5" t="s">
        <v>63</v>
      </c>
      <c r="D7" s="6">
        <v>1200000</v>
      </c>
      <c r="E7" s="6">
        <v>30</v>
      </c>
      <c r="F7" s="6">
        <v>3600</v>
      </c>
    </row>
    <row r="8" spans="2:8" ht="15" customHeight="1" x14ac:dyDescent="0.2">
      <c r="B8" s="4" t="s">
        <v>64</v>
      </c>
      <c r="C8" s="5" t="s">
        <v>65</v>
      </c>
      <c r="D8" s="6">
        <v>6000000</v>
      </c>
      <c r="E8" s="6">
        <v>60</v>
      </c>
      <c r="F8" s="6">
        <v>36000</v>
      </c>
    </row>
    <row r="9" spans="2:8" ht="15" customHeight="1" x14ac:dyDescent="0.2">
      <c r="B9" s="4" t="s">
        <v>66</v>
      </c>
      <c r="C9" s="5" t="s">
        <v>67</v>
      </c>
      <c r="D9" s="6">
        <v>25000000</v>
      </c>
      <c r="E9" s="6">
        <v>80</v>
      </c>
      <c r="F9" s="6">
        <v>200000</v>
      </c>
    </row>
    <row r="10" spans="2:8" ht="15" customHeight="1" x14ac:dyDescent="0.2">
      <c r="B10" s="4" t="s">
        <v>68</v>
      </c>
      <c r="C10" s="5" t="s">
        <v>67</v>
      </c>
      <c r="D10" s="6">
        <v>25000000</v>
      </c>
      <c r="E10" s="6">
        <v>100</v>
      </c>
      <c r="F10" s="6">
        <v>250000</v>
      </c>
    </row>
    <row r="11" spans="2:8" ht="15" customHeight="1" x14ac:dyDescent="0.2">
      <c r="B11" s="7" t="s">
        <v>69</v>
      </c>
      <c r="C11" s="8" t="s">
        <v>12</v>
      </c>
      <c r="D11" s="9">
        <v>57800000</v>
      </c>
      <c r="E11" s="8" t="s">
        <v>12</v>
      </c>
      <c r="F11" s="9">
        <v>490800</v>
      </c>
    </row>
    <row r="13" spans="2:8" ht="15" customHeight="1" x14ac:dyDescent="0.2">
      <c r="B13" s="10" t="s">
        <v>70</v>
      </c>
    </row>
    <row r="14" spans="2:8" ht="26.25" customHeight="1" x14ac:dyDescent="0.2">
      <c r="B14" s="1" t="s">
        <v>71</v>
      </c>
      <c r="C14" s="1" t="s">
        <v>72</v>
      </c>
      <c r="D14" s="1" t="s">
        <v>60</v>
      </c>
      <c r="E14" s="1" t="s">
        <v>62</v>
      </c>
      <c r="F14" s="1" t="s">
        <v>64</v>
      </c>
      <c r="G14" s="1" t="s">
        <v>66</v>
      </c>
      <c r="H14" s="1" t="s">
        <v>68</v>
      </c>
    </row>
    <row r="15" spans="2:8" ht="15" customHeight="1" x14ac:dyDescent="0.2">
      <c r="B15" s="4" t="s">
        <v>73</v>
      </c>
      <c r="C15" s="6">
        <v>88800</v>
      </c>
      <c r="D15" s="6">
        <v>5</v>
      </c>
      <c r="E15" s="6">
        <v>3</v>
      </c>
      <c r="F15" s="6">
        <v>2</v>
      </c>
      <c r="G15" s="6">
        <v>0</v>
      </c>
      <c r="H15" s="6">
        <v>0</v>
      </c>
    </row>
    <row r="16" spans="2:8" ht="15" customHeight="1" x14ac:dyDescent="0.2">
      <c r="B16" s="4" t="s">
        <v>74</v>
      </c>
      <c r="C16" s="6">
        <v>536400</v>
      </c>
      <c r="D16" s="6">
        <v>3</v>
      </c>
      <c r="E16" s="6">
        <v>3</v>
      </c>
      <c r="F16" s="6">
        <v>2</v>
      </c>
      <c r="G16" s="6">
        <v>1</v>
      </c>
      <c r="H16" s="6">
        <v>1</v>
      </c>
    </row>
    <row r="17" spans="2:8" ht="15" customHeight="1" x14ac:dyDescent="0.2">
      <c r="B17" s="4" t="s">
        <v>75</v>
      </c>
      <c r="C17" s="6">
        <v>1016400</v>
      </c>
      <c r="D17" s="6">
        <v>1</v>
      </c>
      <c r="E17" s="6">
        <v>2</v>
      </c>
      <c r="F17" s="6">
        <v>3</v>
      </c>
      <c r="G17" s="6">
        <v>2</v>
      </c>
      <c r="H17" s="6">
        <v>2</v>
      </c>
    </row>
    <row r="20" spans="2:8" ht="15" customHeight="1" x14ac:dyDescent="0.2">
      <c r="B20" t="s">
        <v>76</v>
      </c>
      <c r="C20" t="s">
        <v>77</v>
      </c>
      <c r="D20" t="s">
        <v>78</v>
      </c>
    </row>
    <row r="21" spans="2:8" ht="15" customHeight="1" x14ac:dyDescent="0.2">
      <c r="B21" t="s">
        <v>60</v>
      </c>
      <c r="C21">
        <v>20</v>
      </c>
      <c r="D21">
        <v>1200</v>
      </c>
    </row>
    <row r="22" spans="2:8" ht="15" customHeight="1" x14ac:dyDescent="0.2">
      <c r="B22" t="s">
        <v>62</v>
      </c>
      <c r="C22">
        <v>30</v>
      </c>
      <c r="D22">
        <v>3600</v>
      </c>
    </row>
    <row r="23" spans="2:8" ht="15" customHeight="1" x14ac:dyDescent="0.2">
      <c r="B23" t="s">
        <v>64</v>
      </c>
      <c r="C23">
        <v>60</v>
      </c>
      <c r="D23">
        <v>36000</v>
      </c>
    </row>
    <row r="24" spans="2:8" ht="15" customHeight="1" x14ac:dyDescent="0.2">
      <c r="B24" t="s">
        <v>66</v>
      </c>
      <c r="C24">
        <v>80</v>
      </c>
      <c r="D24">
        <v>200000</v>
      </c>
    </row>
    <row r="25" spans="2:8" ht="15" customHeight="1" x14ac:dyDescent="0.2">
      <c r="B25" t="s">
        <v>68</v>
      </c>
      <c r="C25">
        <v>100</v>
      </c>
      <c r="D25">
        <v>250000</v>
      </c>
    </row>
  </sheetData>
  <mergeCells count="2">
    <mergeCell ref="B3:H3"/>
    <mergeCell ref="B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2A4A"/>
  </sheetPr>
  <dimension ref="B2:I20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14" customWidth="1"/>
    <col min="3" max="13" width="16" customWidth="1"/>
  </cols>
  <sheetData>
    <row r="2" spans="2:9" ht="17.25" customHeight="1" x14ac:dyDescent="0.2">
      <c r="B2" s="15" t="s">
        <v>79</v>
      </c>
      <c r="C2" s="14"/>
      <c r="D2" s="14"/>
      <c r="E2" s="14"/>
      <c r="F2" s="14"/>
      <c r="G2" s="14"/>
      <c r="H2" s="14"/>
      <c r="I2" s="14"/>
    </row>
    <row r="3" spans="2:9" ht="15" customHeight="1" x14ac:dyDescent="0.2">
      <c r="B3" s="13" t="s">
        <v>80</v>
      </c>
      <c r="C3" s="14"/>
      <c r="D3" s="14"/>
      <c r="E3" s="14"/>
      <c r="F3" s="14"/>
      <c r="G3" s="14"/>
      <c r="H3" s="14"/>
      <c r="I3" s="14"/>
    </row>
    <row r="5" spans="2:9" ht="15" customHeight="1" x14ac:dyDescent="0.2">
      <c r="B5" s="10" t="s">
        <v>81</v>
      </c>
    </row>
    <row r="6" spans="2:9" ht="15" customHeight="1" x14ac:dyDescent="0.2">
      <c r="B6" s="1" t="s">
        <v>76</v>
      </c>
      <c r="C6" s="1" t="s">
        <v>82</v>
      </c>
      <c r="D6" s="1" t="s">
        <v>83</v>
      </c>
      <c r="E6" s="1" t="s">
        <v>84</v>
      </c>
      <c r="F6" s="1" t="s">
        <v>85</v>
      </c>
    </row>
    <row r="7" spans="2:9" ht="15" customHeight="1" x14ac:dyDescent="0.2">
      <c r="B7" s="4" t="s">
        <v>86</v>
      </c>
      <c r="C7" s="6">
        <v>5</v>
      </c>
      <c r="D7" s="6">
        <v>0.45</v>
      </c>
      <c r="E7" s="6">
        <v>12000</v>
      </c>
      <c r="F7" s="6">
        <v>4000</v>
      </c>
    </row>
    <row r="8" spans="2:9" ht="15" customHeight="1" x14ac:dyDescent="0.2">
      <c r="B8" s="4" t="s">
        <v>87</v>
      </c>
      <c r="C8" s="6">
        <v>4</v>
      </c>
      <c r="D8" s="6">
        <v>0.25</v>
      </c>
      <c r="E8" s="6">
        <v>18000</v>
      </c>
      <c r="F8" s="6">
        <v>6000</v>
      </c>
    </row>
    <row r="9" spans="2:9" ht="15" customHeight="1" x14ac:dyDescent="0.2">
      <c r="B9" s="4" t="s">
        <v>37</v>
      </c>
      <c r="C9" s="6">
        <v>3</v>
      </c>
      <c r="D9" s="6">
        <v>0.1</v>
      </c>
      <c r="E9" s="6">
        <v>35000</v>
      </c>
      <c r="F9" s="6">
        <v>15000</v>
      </c>
    </row>
    <row r="10" spans="2:9" ht="15" customHeight="1" x14ac:dyDescent="0.2">
      <c r="B10" s="4" t="s">
        <v>88</v>
      </c>
      <c r="C10" s="6">
        <v>3</v>
      </c>
      <c r="D10" s="6">
        <v>0.2</v>
      </c>
      <c r="E10" s="6">
        <v>20000</v>
      </c>
      <c r="F10" s="6">
        <v>5000</v>
      </c>
    </row>
    <row r="13" spans="2:9" ht="15" customHeight="1" x14ac:dyDescent="0.2">
      <c r="B13" s="10" t="s">
        <v>89</v>
      </c>
    </row>
    <row r="14" spans="2:9" ht="26.25" customHeight="1" x14ac:dyDescent="0.2">
      <c r="B14" s="1" t="s">
        <v>2</v>
      </c>
      <c r="C14" s="1" t="s">
        <v>90</v>
      </c>
      <c r="D14" s="1" t="s">
        <v>91</v>
      </c>
      <c r="E14" s="1" t="s">
        <v>7</v>
      </c>
      <c r="F14" s="1" t="s">
        <v>92</v>
      </c>
      <c r="G14" s="1" t="s">
        <v>93</v>
      </c>
      <c r="H14" s="1" t="s">
        <v>94</v>
      </c>
    </row>
    <row r="15" spans="2:9" ht="15" customHeight="1" x14ac:dyDescent="0.2">
      <c r="B15" s="4" t="s">
        <v>95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</row>
    <row r="16" spans="2:9" ht="15" customHeight="1" x14ac:dyDescent="0.2">
      <c r="B16" s="4" t="s">
        <v>96</v>
      </c>
      <c r="C16" s="6">
        <v>2</v>
      </c>
      <c r="D16" s="6">
        <v>34800</v>
      </c>
      <c r="E16" s="6">
        <v>0</v>
      </c>
      <c r="F16" s="6">
        <v>0</v>
      </c>
      <c r="G16" s="6">
        <v>34800</v>
      </c>
      <c r="H16" s="6">
        <v>34800</v>
      </c>
    </row>
    <row r="17" spans="2:8" ht="15" customHeight="1" x14ac:dyDescent="0.2">
      <c r="B17" s="4" t="s">
        <v>97</v>
      </c>
      <c r="C17" s="6">
        <v>3</v>
      </c>
      <c r="D17" s="6">
        <v>52200</v>
      </c>
      <c r="E17" s="6">
        <v>1</v>
      </c>
      <c r="F17" s="6">
        <v>5800</v>
      </c>
      <c r="G17" s="6">
        <v>58000</v>
      </c>
      <c r="H17" s="6">
        <v>92800</v>
      </c>
    </row>
    <row r="18" spans="2:8" ht="15" customHeight="1" x14ac:dyDescent="0.2">
      <c r="B18" s="4" t="s">
        <v>98</v>
      </c>
      <c r="C18" s="6">
        <v>4</v>
      </c>
      <c r="D18" s="6">
        <v>69600</v>
      </c>
      <c r="E18" s="6">
        <v>2</v>
      </c>
      <c r="F18" s="6">
        <v>11600</v>
      </c>
      <c r="G18" s="6">
        <v>81200</v>
      </c>
      <c r="H18" s="6">
        <v>174000</v>
      </c>
    </row>
    <row r="19" spans="2:8" ht="15" customHeight="1" x14ac:dyDescent="0.2">
      <c r="B19" s="4" t="s">
        <v>99</v>
      </c>
      <c r="C19" s="6">
        <v>5</v>
      </c>
      <c r="D19" s="6">
        <v>87000</v>
      </c>
      <c r="E19" s="6">
        <v>3</v>
      </c>
      <c r="F19" s="6">
        <v>17400</v>
      </c>
      <c r="G19" s="6">
        <v>104400</v>
      </c>
      <c r="H19" s="6">
        <v>278400</v>
      </c>
    </row>
    <row r="20" spans="2:8" ht="15" customHeight="1" x14ac:dyDescent="0.2">
      <c r="B20" s="7" t="s">
        <v>69</v>
      </c>
      <c r="C20" s="9">
        <v>14</v>
      </c>
      <c r="D20" s="9">
        <v>243600</v>
      </c>
      <c r="E20" s="9">
        <v>6</v>
      </c>
      <c r="F20" s="9">
        <v>34800</v>
      </c>
      <c r="G20" s="9">
        <v>278400</v>
      </c>
      <c r="H20" s="8" t="s">
        <v>12</v>
      </c>
    </row>
  </sheetData>
  <mergeCells count="2">
    <mergeCell ref="B3:I3"/>
    <mergeCell ref="B2:I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Combined 5-Year</vt:lpstr>
      <vt:lpstr>Year 1 (FY2026)</vt:lpstr>
      <vt:lpstr>Year 2 (FY2027)</vt:lpstr>
      <vt:lpstr>Year 3 (FY2028)</vt:lpstr>
      <vt:lpstr>Year 4 (FY2029)</vt:lpstr>
      <vt:lpstr>Year 5 (FY2030)</vt:lpstr>
      <vt:lpstr>Banking Projection</vt:lpstr>
      <vt:lpstr>Licensing 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Inderjeet Bandwal</cp:lastModifiedBy>
  <cp:revision>2</cp:revision>
  <dcterms:created xsi:type="dcterms:W3CDTF">2026-04-06T10:52:43Z</dcterms:created>
  <dcterms:modified xsi:type="dcterms:W3CDTF">2026-04-07T12:06:53Z</dcterms:modified>
  <dc:language>en-US</dc:language>
</cp:coreProperties>
</file>