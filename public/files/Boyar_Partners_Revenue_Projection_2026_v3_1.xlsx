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42BAB216-5AFC-B543-BFEE-1431553A20B0}" xr6:coauthVersionLast="47" xr6:coauthVersionMax="47" xr10:uidLastSave="{00000000-0000-0000-0000-000000000000}"/>
  <bookViews>
    <workbookView xWindow="0" yWindow="500" windowWidth="33600" windowHeight="19100" tabRatio="500" activeTab="6" xr2:uid="{00000000-000D-0000-FFFF-FFFF00000000}"/>
  </bookViews>
  <sheets>
    <sheet name="Combined 5-Year" sheetId="1" r:id="rId1"/>
    <sheet name="Year 1 (FY2026)" sheetId="2" r:id="rId2"/>
    <sheet name="Year 2 (FY2027)" sheetId="3" r:id="rId3"/>
    <sheet name="Year 3 (FY2028)" sheetId="4" r:id="rId4"/>
    <sheet name="Year 4 (FY2029)" sheetId="5" r:id="rId5"/>
    <sheet name="Year 5 (FY2030)" sheetId="6" r:id="rId6"/>
    <sheet name="Banking Projection" sheetId="7" r:id="rId7"/>
    <sheet name="Licensing Projection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<sst xmlns="http://schemas.openxmlformats.org/spreadsheetml/2006/main" count="236" uniqueCount="100">
  <si>
    <t>BOYAR PARTNERS — 5-Year Corporate Services Revenue Projection</t>
  </si>
  <si>
    <t>All amounts in USD  |  INR Rate: ₹90.44  |  5-Year Total: $1,851,890  |  CAGR: 56.7%</t>
  </si>
  <si>
    <t>Year</t>
  </si>
  <si>
    <t>Fiscal</t>
  </si>
  <si>
    <t>Total (USD)</t>
  </si>
  <si>
    <t>New Revenue</t>
  </si>
  <si>
    <t>Renewal Rev</t>
  </si>
  <si>
    <t>Renewals</t>
  </si>
  <si>
    <t>Growth %</t>
  </si>
  <si>
    <t>Cumulative</t>
  </si>
  <si>
    <t>Year 1</t>
  </si>
  <si>
    <t>FY2026</t>
  </si>
  <si>
    <t>—</t>
  </si>
  <si>
    <t>Year 2</t>
  </si>
  <si>
    <t>FY2027</t>
  </si>
  <si>
    <t>91.9%</t>
  </si>
  <si>
    <t>Year 3</t>
  </si>
  <si>
    <t>FY2028</t>
  </si>
  <si>
    <t>48.3%</t>
  </si>
  <si>
    <t>Year 4</t>
  </si>
  <si>
    <t>FY2029</t>
  </si>
  <si>
    <t>71.1%</t>
  </si>
  <si>
    <t>Year 5</t>
  </si>
  <si>
    <t>FY2030</t>
  </si>
  <si>
    <t>24.6%</t>
  </si>
  <si>
    <t>5-YEAR TOTAL</t>
  </si>
  <si>
    <t>5-YEAR (INR)</t>
  </si>
  <si>
    <t>BOYAR PARTNERS — Year 1 (FY2026) Revenue Projection</t>
  </si>
  <si>
    <t>All amounts in USD  |  INR Rate: ₹90.44  |  Total: $110,900  |  Growth: N/A (Base Year)</t>
  </si>
  <si>
    <t>Service Type</t>
  </si>
  <si>
    <t>Clients</t>
  </si>
  <si>
    <t>Unit (USD)</t>
  </si>
  <si>
    <t>Company Formation</t>
  </si>
  <si>
    <t>Standalone Trust</t>
  </si>
  <si>
    <t>Full Structure</t>
  </si>
  <si>
    <t>Corporate Services</t>
  </si>
  <si>
    <t>Office Registration</t>
  </si>
  <si>
    <t>Banking</t>
  </si>
  <si>
    <t>TOTAL (USD)</t>
  </si>
  <si>
    <t>TOTAL (INR)</t>
  </si>
  <si>
    <t>Key Metrics</t>
  </si>
  <si>
    <t>Total Revenue (USD)</t>
  </si>
  <si>
    <t>Total Revenue (INR)</t>
  </si>
  <si>
    <t>Total Clients</t>
  </si>
  <si>
    <t>Avg Revenue/Client (USD)</t>
  </si>
  <si>
    <t>BOYAR PARTNERS — Year 2 (FY2027) Revenue Projection</t>
  </si>
  <si>
    <t>All amounts in USD  |  INR Rate: ₹90.44  |  Total: $212,780  |  Growth vs Y1: 91.9%</t>
  </si>
  <si>
    <t>BOYAR PARTNERS — Year 3 (FY2028) Revenue Projection</t>
  </si>
  <si>
    <t>All amounts in USD  |  INR Rate: ₹90.44  |  Total: $315,500  |  Growth vs Y2: 48.3%</t>
  </si>
  <si>
    <t>BOYAR PARTNERS — Year 4 (FY2029) Revenue Projection</t>
  </si>
  <si>
    <t>All amounts in USD  |  INR Rate: ₹90.44  |  Total: $539,970  |  Growth vs Y3: 71.1%</t>
  </si>
  <si>
    <t>BOYAR PARTNERS — Year 5 (FY2030) Revenue Projection</t>
  </si>
  <si>
    <t>All amounts in USD  |  INR Rate: ₹90.44  |  Total: $672,740  |  Growth vs Y4: 24.6%</t>
  </si>
  <si>
    <t>BOYAR PARTNERS — Banking / EMI Commission Revenue Projection</t>
  </si>
  <si>
    <t>EMI referral commission model — 5 client tiers by risk profile</t>
  </si>
  <si>
    <t>Client Tier</t>
  </si>
  <si>
    <t>Risk Level</t>
  </si>
  <si>
    <t>Annual Volume ($)</t>
  </si>
  <si>
    <t>Commission (bps)</t>
  </si>
  <si>
    <t>Annual Commission ($)</t>
  </si>
  <si>
    <t>Small fintech / SaaS</t>
  </si>
  <si>
    <t>LOW</t>
  </si>
  <si>
    <t>Mid-tier corporate</t>
  </si>
  <si>
    <t>LOW-MED</t>
  </si>
  <si>
    <t>Forex broker</t>
  </si>
  <si>
    <t>HIGH</t>
  </si>
  <si>
    <t>iGaming operator</t>
  </si>
  <si>
    <t>VERY HIGH</t>
  </si>
  <si>
    <t>Crypto / VASP</t>
  </si>
  <si>
    <t>TOTAL</t>
  </si>
  <si>
    <t>Portfolio Scenarios</t>
  </si>
  <si>
    <t>Portfolio</t>
  </si>
  <si>
    <t>Total Annual ($)</t>
  </si>
  <si>
    <t>A: SaaS-heavy</t>
  </si>
  <si>
    <t>B: Balanced</t>
  </si>
  <si>
    <t>C: High-risk weighted</t>
  </si>
  <si>
    <t>Tier</t>
  </si>
  <si>
    <t>BPS</t>
  </si>
  <si>
    <t>Annual ($)</t>
  </si>
  <si>
    <t>BOYAR PARTNERS — Licensing Revenue Projection (5-Year)</t>
  </si>
  <si>
    <t>Blended Fee: $17,400  |  Blended Renewal: $5,800  |  5-Year Cumulative: $278,400</t>
  </si>
  <si>
    <t>Licensing Tier Breakdown</t>
  </si>
  <si>
    <t>Proposals</t>
  </si>
  <si>
    <t>Weight</t>
  </si>
  <si>
    <t>Fee ($)</t>
  </si>
  <si>
    <t>Renewal ($)</t>
  </si>
  <si>
    <t>Crypto / CASP</t>
  </si>
  <si>
    <t>Forex / Securities</t>
  </si>
  <si>
    <t>Fund / Gaming</t>
  </si>
  <si>
    <t>5-Year Revenue Projection</t>
  </si>
  <si>
    <t>New Clients</t>
  </si>
  <si>
    <t>New Revenue ($)</t>
  </si>
  <si>
    <t>Renewal Rev ($)</t>
  </si>
  <si>
    <t>Total ($)</t>
  </si>
  <si>
    <t>Cumulative ($)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</si>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</sst>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B2A4A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F0FE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0" fontId="6" fillId="0" borderId="0" xfId="0" applyFont="1"/>
    <xf numFmtId="0" fontId="4" fillId="0" borderId="0" xfId="0" applyFont="1"/>
    <xf numFmtId="3" fontId="5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8B5CF6"/>
      <rgbColor rgb="FF993366"/>
      <rgbColor rgb="FFFFFFCC"/>
      <rgbColor rgb="FFE8F0FE"/>
      <rgbColor rgb="FF660066"/>
      <rgbColor rgb="FFEC4899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666666"/>
      <rgbColor rgb="FF4F81BD"/>
      <rgbColor rgb="FF003366"/>
      <rgbColor rgb="FF10B981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Annual Revenue Growth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5-Year'!$D$5</c:f>
              <c:strCache>
                <c:ptCount val="1"/>
                <c:pt idx="0">
                  <c:v>Total (USD)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5-Year'!$D$6:$D$10</c:f>
              <c:numCache>
                <c:formatCode>#,##0</c:formatCode>
                <c:ptCount val="5"/>
                <c:pt idx="0">
                  <c:v>110900</c:v>
                </c:pt>
                <c:pt idx="1">
                  <c:v>212780</c:v>
                </c:pt>
                <c:pt idx="2">
                  <c:v>315500</c:v>
                </c:pt>
                <c:pt idx="3">
                  <c:v>539970</c:v>
                </c:pt>
                <c:pt idx="4">
                  <c:v>672740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7-FF4F-A38F-E7416B92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73183"/>
        <c:axId val="32658444"/>
      </c:barChart>
      <c:catAx>
        <c:axId val="52173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58444"/>
        <c:crosses val="autoZero"/>
        <c:auto val="1"/>
        <c:lblAlgn val="ctr"/>
        <c:lblOffset val="100"/>
        <c:noMultiLvlLbl val="0"/>
      </c:catAx>
      <c:valAx>
        <c:axId val="326584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73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Cumulative Revenue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5-Year'!$I$5</c:f>
              <c:strCache>
                <c:ptCount val="1"/>
                <c:pt idx="0">
                  <c:v>Cumulative</c:v>
                </c:pt>
              </c:strCache>
            </c:strRef>
          </c:tx>
          <c:spPr>
            <a:ln w="2808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5-Year'!$I$6:$I$10</c:f>
              <c:numCache>
                <c:formatCode>#,##0</c:formatCode>
                <c:ptCount val="5"/>
                <c:pt idx="0">
                  <c:v>110900</c:v>
                </c:pt>
                <c:pt idx="1">
                  <c:v>323680</c:v>
                </c:pt>
                <c:pt idx="2">
                  <c:v>639180</c:v>
                </c:pt>
                <c:pt idx="3">
                  <c:v>1179150</c:v>
                </c:pt>
                <c:pt idx="4">
                  <c:v>1851890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51-DC43-842F-5B6919F0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33065"/>
        <c:axId val="18490445"/>
      </c:lineChart>
      <c:catAx>
        <c:axId val="646330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90445"/>
        <c:crosses val="autoZero"/>
        <c:auto val="1"/>
        <c:lblAlgn val="ctr"/>
        <c:lblOffset val="100"/>
        <c:noMultiLvlLbl val="0"/>
      </c:catAx>
      <c:valAx>
        <c:axId val="184904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330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New vs Renewal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'Combined 5-Year'!$E$5</c:f>
              <c:strCache>
                <c:ptCount val="1"/>
                <c:pt idx="0">
                  <c:v>New 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5-Year'!$E$6:$E$10</c:f>
              <c:numCache>
                <c:formatCode>#,##0</c:formatCode>
                <c:ptCount val="5"/>
                <c:pt idx="0">
                  <c:v>110900</c:v>
                </c:pt>
                <c:pt idx="1">
                  <c:v>151600</c:v>
                </c:pt>
                <c:pt idx="2">
                  <c:v>167100</c:v>
                </c:pt>
                <c:pt idx="3">
                  <c:v>293500</c:v>
                </c:pt>
                <c:pt idx="4">
                  <c:v>328200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8-E641-BC70-CD3F39A43C91}"/>
            </c:ext>
          </c:extLst>
        </c:ser>
        <c:ser>
          <c:idx val="1"/>
          <c:order val="1"/>
          <c:tx>
            <c:strRef>
              <c:f>'Combined 5-Year'!$F$5</c:f>
              <c:strCache>
                <c:ptCount val="1"/>
                <c:pt idx="0">
                  <c:v>Renewal Rev</c:v>
                </c:pt>
              </c:strCache>
            </c:strRef>
          </c:tx>
          <c:spPr>
            <a:solidFill>
              <a:srgbClr val="10B98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5-Year'!$F$6:$F$10</c:f>
              <c:numCache>
                <c:formatCode>#,##0</c:formatCode>
                <c:ptCount val="5"/>
                <c:pt idx="0">
                  <c:v>0</c:v>
                </c:pt>
                <c:pt idx="1">
                  <c:v>61180</c:v>
                </c:pt>
                <c:pt idx="2">
                  <c:v>148400</c:v>
                </c:pt>
                <c:pt idx="3">
                  <c:v>246470</c:v>
                </c:pt>
                <c:pt idx="4">
                  <c:v>344540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8-E641-BC70-CD3F39A4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176"/>
        <c:axId val="9691017"/>
      </c:barChart>
      <c:catAx>
        <c:axId val="708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91017"/>
        <c:crosses val="autoZero"/>
        <c:auto val="1"/>
        <c:lblAlgn val="ctr"/>
        <c:lblOffset val="100"/>
        <c:noMultiLvlLbl val="0"/>
      </c:catAx>
      <c:valAx>
        <c:axId val="96910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1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1 (FY2026) — Revenue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302-0A43-B7E7-2D285E8994DD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302-0A43-B7E7-2D285E8994DD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302-0A43-B7E7-2D285E8994DD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302-0A43-B7E7-2D285E8994DD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302-0A43-B7E7-2D285E8994DD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302-0A43-B7E7-2D285E8994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02-0A43-B7E7-2D285E8994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2-0A43-B7E7-2D285E8994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02-0A43-B7E7-2D285E8994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02-0A43-B7E7-2D285E8994D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02-0A43-B7E7-2D285E8994D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02-0A43-B7E7-2D285E8994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1 (FY2026)'!$B$6:$B$11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'Year 1 (FY2026)'!$H$6:$H$11</c:f>
              <c:numCache>
                <c:formatCode>#,##0</c:formatCode>
                <c:ptCount val="6"/>
                <c:pt idx="0">
                  <c:v>15000</c:v>
                </c:pt>
                <c:pt idx="1">
                  <c:v>13000</c:v>
                </c:pt>
                <c:pt idx="2">
                  <c:v>59400</c:v>
                </c:pt>
                <c:pt idx="3">
                  <c:v>14000</c:v>
                </c:pt>
                <c:pt idx="4">
                  <c:v>3000</c:v>
                </c:pt>
                <c:pt idx="5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02-0A43-B7E7-2D285E899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26607"/>
        <c:axId val="94185519"/>
      </c:barChart>
      <c:catAx>
        <c:axId val="84626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85519"/>
        <c:crosses val="autoZero"/>
        <c:auto val="1"/>
        <c:lblAlgn val="ctr"/>
        <c:lblOffset val="100"/>
        <c:noMultiLvlLbl val="0"/>
      </c:catAx>
      <c:valAx>
        <c:axId val="94185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626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1 (FY2026) — Service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DA4-394A-8A01-9ADA4B54C5BB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DA4-394A-8A01-9ADA4B54C5BB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DA4-394A-8A01-9ADA4B54C5BB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DA4-394A-8A01-9ADA4B54C5BB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DA4-394A-8A01-9ADA4B54C5BB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DA4-394A-8A01-9ADA4B54C5B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A4-394A-8A01-9ADA4B54C5BB}"/>
                </c:ext>
              </c:extLst>
            </c:dLbl>
            <c:dLbl>
              <c:idx val="1"/>
              <c:layout>
                <c:manualLayout>
                  <c:x val="-0.20953838798520302"/>
                  <c:y val="7.839615083610027E-2"/>
                </c:manualLayout>
              </c:layout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A4-394A-8A01-9ADA4B54C5B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A4-394A-8A01-9ADA4B54C5B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A4-394A-8A01-9ADA4B54C5B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A4-394A-8A01-9ADA4B54C5B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A4-394A-8A01-9ADA4B54C5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1 (FY2026)'!$B$6:$B$11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'Year 1 (FY2026)'!$H$6:$H$11</c:f>
              <c:numCache>
                <c:formatCode>#,##0</c:formatCode>
                <c:ptCount val="6"/>
                <c:pt idx="0">
                  <c:v>15000</c:v>
                </c:pt>
                <c:pt idx="1">
                  <c:v>13000</c:v>
                </c:pt>
                <c:pt idx="2">
                  <c:v>59400</c:v>
                </c:pt>
                <c:pt idx="3">
                  <c:v>14000</c:v>
                </c:pt>
                <c:pt idx="4">
                  <c:v>3000</c:v>
                </c:pt>
                <c:pt idx="5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A4-394A-8A01-9ADA4B54C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2 (FY2027) — Revenue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3E6-7D47-AD9B-3C337DB2BA16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E6-7D47-AD9B-3C337DB2BA16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3E6-7D47-AD9B-3C337DB2BA16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3E6-7D47-AD9B-3C337DB2BA16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3E6-7D47-AD9B-3C337DB2BA1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E6-7D47-AD9B-3C337DB2BA1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E6-7D47-AD9B-3C337DB2BA1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E6-7D47-AD9B-3C337DB2BA1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E6-7D47-AD9B-3C337DB2BA1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E6-7D47-AD9B-3C337DB2BA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2 (FY2027)'!$B$6:$B$10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2 (FY2027)'!$H$6:$H$10</c:f>
              <c:numCache>
                <c:formatCode>#,##0</c:formatCode>
                <c:ptCount val="5"/>
                <c:pt idx="0">
                  <c:v>33000</c:v>
                </c:pt>
                <c:pt idx="1">
                  <c:v>22100</c:v>
                </c:pt>
                <c:pt idx="2">
                  <c:v>130680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6-7D47-AD9B-3C337DB2B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49311"/>
        <c:axId val="43882762"/>
      </c:barChart>
      <c:catAx>
        <c:axId val="38649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882762"/>
        <c:crosses val="autoZero"/>
        <c:auto val="1"/>
        <c:lblAlgn val="ctr"/>
        <c:lblOffset val="100"/>
        <c:noMultiLvlLbl val="0"/>
      </c:catAx>
      <c:valAx>
        <c:axId val="43882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493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2 (FY2027) — Service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298-BF49-96E6-C5B2EE1464D0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298-BF49-96E6-C5B2EE1464D0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298-BF49-96E6-C5B2EE1464D0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298-BF49-96E6-C5B2EE1464D0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298-BF49-96E6-C5B2EE1464D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98-BF49-96E6-C5B2EE1464D0}"/>
                </c:ext>
              </c:extLst>
            </c:dLbl>
            <c:dLbl>
              <c:idx val="1"/>
              <c:layout>
                <c:manualLayout>
                  <c:x val="-0.2174423884872963"/>
                  <c:y val="5.998133766781049E-2"/>
                </c:manualLayout>
              </c:layout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98-BF49-96E6-C5B2EE1464D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98-BF49-96E6-C5B2EE1464D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98-BF49-96E6-C5B2EE1464D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98-BF49-96E6-C5B2EE1464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2 (FY2027)'!$B$6:$B$10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2 (FY2027)'!$H$6:$H$10</c:f>
              <c:numCache>
                <c:formatCode>#,##0</c:formatCode>
                <c:ptCount val="5"/>
                <c:pt idx="0">
                  <c:v>33000</c:v>
                </c:pt>
                <c:pt idx="1">
                  <c:v>22100</c:v>
                </c:pt>
                <c:pt idx="2">
                  <c:v>130680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98-BF49-96E6-C5B2EE14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3 (FY2028) — Revenue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EA5-3843-9688-20BE0FAC05D3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EA5-3843-9688-20BE0FAC05D3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EA5-3843-9688-20BE0FAC05D3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EA5-3843-9688-20BE0FAC05D3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EA5-3843-9688-20BE0FAC05D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A5-3843-9688-20BE0FAC05D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A5-3843-9688-20BE0FAC05D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A5-3843-9688-20BE0FAC05D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A5-3843-9688-20BE0FAC05D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A5-3843-9688-20BE0FAC0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3 (FY2028)'!$B$6:$B$10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3 (FY2028)'!$H$6:$H$10</c:f>
              <c:numCache>
                <c:formatCode>#,##0</c:formatCode>
                <c:ptCount val="5"/>
                <c:pt idx="0">
                  <c:v>51250</c:v>
                </c:pt>
                <c:pt idx="1">
                  <c:v>44200</c:v>
                </c:pt>
                <c:pt idx="2">
                  <c:v>193050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A5-3843-9688-20BE0FAC0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85122"/>
        <c:axId val="36227713"/>
      </c:barChart>
      <c:catAx>
        <c:axId val="616851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27713"/>
        <c:crosses val="autoZero"/>
        <c:auto val="1"/>
        <c:lblAlgn val="ctr"/>
        <c:lblOffset val="100"/>
        <c:noMultiLvlLbl val="0"/>
      </c:catAx>
      <c:valAx>
        <c:axId val="36227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5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3 (FY2028) — Service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339-7E48-9C30-368DC319921D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39-7E48-9C30-368DC319921D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339-7E48-9C30-368DC319921D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339-7E48-9C30-368DC319921D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339-7E48-9C30-368DC319921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39-7E48-9C30-368DC319921D}"/>
                </c:ext>
              </c:extLst>
            </c:dLbl>
            <c:dLbl>
              <c:idx val="1"/>
              <c:layout>
                <c:manualLayout>
                  <c:x val="-0.22403854673528609"/>
                  <c:y val="3.166275359701403E-2"/>
                </c:manualLayout>
              </c:layout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39-7E48-9C30-368DC319921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39-7E48-9C30-368DC319921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39-7E48-9C30-368DC319921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39-7E48-9C30-368DC3199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3 (FY2028)'!$B$6:$B$10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3 (FY2028)'!$H$6:$H$10</c:f>
              <c:numCache>
                <c:formatCode>#,##0</c:formatCode>
                <c:ptCount val="5"/>
                <c:pt idx="0">
                  <c:v>51250</c:v>
                </c:pt>
                <c:pt idx="1">
                  <c:v>44200</c:v>
                </c:pt>
                <c:pt idx="2">
                  <c:v>193050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39-7E48-9C30-368DC3199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4 (FY2029) — Revenue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ABA-BC4C-A019-CBC4D510EEF2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ABA-BC4C-A019-CBC4D510EEF2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ABA-BC4C-A019-CBC4D510EEF2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ABA-BC4C-A019-CBC4D510EEF2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ABA-BC4C-A019-CBC4D510EEF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BA-BC4C-A019-CBC4D510EEF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BA-BC4C-A019-CBC4D510EEF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BA-BC4C-A019-CBC4D510EEF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BA-BC4C-A019-CBC4D510EEF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BA-BC4C-A019-CBC4D510EE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4 (FY2029)'!$B$6:$B$10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4 (FY2029)'!$H$6:$H$10</c:f>
              <c:numCache>
                <c:formatCode>#,##0</c:formatCode>
                <c:ptCount val="5"/>
                <c:pt idx="0">
                  <c:v>83750</c:v>
                </c:pt>
                <c:pt idx="1">
                  <c:v>75400</c:v>
                </c:pt>
                <c:pt idx="2">
                  <c:v>314820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BA-BC4C-A019-CBC4D510E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90963"/>
        <c:axId val="61676020"/>
      </c:barChart>
      <c:catAx>
        <c:axId val="178909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76020"/>
        <c:crosses val="autoZero"/>
        <c:auto val="1"/>
        <c:lblAlgn val="ctr"/>
        <c:lblOffset val="100"/>
        <c:noMultiLvlLbl val="0"/>
      </c:catAx>
      <c:valAx>
        <c:axId val="61676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909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4 (FY2029) — Service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97D-5542-BDA8-417943A40B2B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97D-5542-BDA8-417943A40B2B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97D-5542-BDA8-417943A40B2B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97D-5542-BDA8-417943A40B2B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97D-5542-BDA8-417943A40B2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7D-5542-BDA8-417943A40B2B}"/>
                </c:ext>
              </c:extLst>
            </c:dLbl>
            <c:dLbl>
              <c:idx val="1"/>
              <c:layout>
                <c:manualLayout>
                  <c:x val="-0.2348227536863246"/>
                  <c:y val="3.6505235177801548E-2"/>
                </c:manualLayout>
              </c:layout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7D-5542-BDA8-417943A40B2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7D-5542-BDA8-417943A40B2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7D-5542-BDA8-417943A40B2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7D-5542-BDA8-417943A40B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4 (FY2029)'!$B$6:$B$10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4 (FY2029)'!$H$6:$H$10</c:f>
              <c:numCache>
                <c:formatCode>#,##0</c:formatCode>
                <c:ptCount val="5"/>
                <c:pt idx="0">
                  <c:v>83750</c:v>
                </c:pt>
                <c:pt idx="1">
                  <c:v>75400</c:v>
                </c:pt>
                <c:pt idx="2">
                  <c:v>314820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7D-5542-BDA8-417943A40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5 (FY2030) — Revenue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1C9-3B48-8523-4090AF2E688F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1C9-3B48-8523-4090AF2E688F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1C9-3B48-8523-4090AF2E688F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1C9-3B48-8523-4090AF2E688F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1C9-3B48-8523-4090AF2E688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C9-3B48-8523-4090AF2E688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C9-3B48-8523-4090AF2E688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C9-3B48-8523-4090AF2E688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C9-3B48-8523-4090AF2E688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C9-3B48-8523-4090AF2E68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5 (FY2030)'!$B$6:$B$10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5 (FY2030)'!$H$6:$H$10</c:f>
              <c:numCache>
                <c:formatCode>#,##0</c:formatCode>
                <c:ptCount val="5"/>
                <c:pt idx="0">
                  <c:v>108000</c:v>
                </c:pt>
                <c:pt idx="1">
                  <c:v>84500</c:v>
                </c:pt>
                <c:pt idx="2">
                  <c:v>414240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C9-3B48-8523-4090AF2E6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77078"/>
        <c:axId val="67817984"/>
      </c:barChart>
      <c:catAx>
        <c:axId val="52277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817984"/>
        <c:crosses val="autoZero"/>
        <c:auto val="1"/>
        <c:lblAlgn val="ctr"/>
        <c:lblOffset val="100"/>
        <c:noMultiLvlLbl val="0"/>
      </c:catAx>
      <c:valAx>
        <c:axId val="67817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277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Year 5 (FY2030) — Service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F16-6245-9A8F-44685654FFE0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F16-6245-9A8F-44685654FFE0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F16-6245-9A8F-44685654FFE0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F16-6245-9A8F-44685654FFE0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F16-6245-9A8F-44685654FFE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16-6245-9A8F-44685654FFE0}"/>
                </c:ext>
              </c:extLst>
            </c:dLbl>
            <c:dLbl>
              <c:idx val="1"/>
              <c:layout>
                <c:manualLayout>
                  <c:x val="-0.20154190633006727"/>
                  <c:y val="3.3068680160968353E-2"/>
                </c:manualLayout>
              </c:layout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16-6245-9A8F-44685654FFE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16-6245-9A8F-44685654FFE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16-6245-9A8F-44685654FFE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16-6245-9A8F-44685654FF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5 (FY2030)'!$B$6:$B$10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5 (FY2030)'!$H$6:$H$10</c:f>
              <c:numCache>
                <c:formatCode>#,##0</c:formatCode>
                <c:ptCount val="5"/>
                <c:pt idx="0">
                  <c:v>108000</c:v>
                </c:pt>
                <c:pt idx="1">
                  <c:v>84500</c:v>
                </c:pt>
                <c:pt idx="2">
                  <c:v>414240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16-6245-9A8F-44685654F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Annual Commission by Tier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10D-7F40-8238-0B49653E15F9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10D-7F40-8238-0B49653E15F9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10D-7F40-8238-0B49653E15F9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10D-7F40-8238-0B49653E15F9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10D-7F40-8238-0B49653E15F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0D-7F40-8238-0B49653E15F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0D-7F40-8238-0B49653E15F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0D-7F40-8238-0B49653E15F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0D-7F40-8238-0B49653E15F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0D-7F40-8238-0B49653E1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'Banking Projection'!$B$6:$B$10</c:f>
              <c:strCache>
                <c:ptCount val="5"/>
                <c:pt idx="0">
                  <c:v>Small fintech / SaaS</c:v>
                </c:pt>
                <c:pt idx="1">
                  <c:v>Mid-tier corporate</c:v>
                </c:pt>
                <c:pt idx="2">
                  <c:v>Forex broker</c:v>
                </c:pt>
                <c:pt idx="3">
                  <c:v>iGaming operator</c:v>
                </c:pt>
                <c:pt idx="4">
                  <c:v>Crypto / VASP</c:v>
                </c:pt>
              </c:strCache>
            </c:strRef>
          </c:cat>
          <c:val>
            <c:numRef>
              <c:f>'Banking Projection'!$F$6:$F$10</c:f>
              <c:numCache>
                <c:formatCode>#,##0</c:formatCode>
                <c:ptCount val="5"/>
                <c:pt idx="0">
                  <c:v>1200</c:v>
                </c:pt>
                <c:pt idx="1">
                  <c:v>3600</c:v>
                </c:pt>
                <c:pt idx="2">
                  <c:v>36000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0D-7F40-8238-0B49653E1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43042"/>
        <c:axId val="8939222"/>
      </c:barChart>
      <c:catAx>
        <c:axId val="11443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9222"/>
        <c:crosses val="autoZero"/>
        <c:auto val="1"/>
        <c:lblAlgn val="ctr"/>
        <c:lblOffset val="100"/>
        <c:noMultiLvlLbl val="0"/>
      </c:catAx>
      <c:valAx>
        <c:axId val="89392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43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Commission Share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00F-564E-B401-E0B8BFA31B83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00F-564E-B401-E0B8BFA31B83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00F-564E-B401-E0B8BFA31B83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00F-564E-B401-E0B8BFA31B83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00F-564E-B401-E0B8BFA31B8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0F-564E-B401-E0B8BFA31B8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0F-564E-B401-E0B8BFA31B8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0F-564E-B401-E0B8BFA31B8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0F-564E-B401-E0B8BFA31B8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0F-564E-B401-E0B8BFA31B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'Banking Projection'!$B$6:$B$10</c:f>
              <c:strCache>
                <c:ptCount val="5"/>
                <c:pt idx="0">
                  <c:v>Small fintech / SaaS</c:v>
                </c:pt>
                <c:pt idx="1">
                  <c:v>Mid-tier corporate</c:v>
                </c:pt>
                <c:pt idx="2">
                  <c:v>Forex broker</c:v>
                </c:pt>
                <c:pt idx="3">
                  <c:v>iGaming operator</c:v>
                </c:pt>
                <c:pt idx="4">
                  <c:v>Crypto / VASP</c:v>
                </c:pt>
              </c:strCache>
            </c:strRef>
          </c:cat>
          <c:val>
            <c:numRef>
              <c:f>'Banking Projection'!$F$6:$F$10</c:f>
              <c:numCache>
                <c:formatCode>#,##0</c:formatCode>
                <c:ptCount val="5"/>
                <c:pt idx="0">
                  <c:v>1200</c:v>
                </c:pt>
                <c:pt idx="1">
                  <c:v>3600</c:v>
                </c:pt>
                <c:pt idx="2">
                  <c:v>36000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0F-564E-B401-E0B8BFA31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Portfolio Annual Revenue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13C-A84E-93C6-F7FDEB06973A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3C-A84E-93C6-F7FDEB06973A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3C-A84E-93C6-F7FDEB06973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3C-A84E-93C6-F7FDEB06973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3C-A84E-93C6-F7FDEB06973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3C-A84E-93C6-F7FDEB0697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'Banking Projection'!$B$15:$B$17</c:f>
              <c:strCache>
                <c:ptCount val="3"/>
                <c:pt idx="0">
                  <c:v>A: SaaS-heavy</c:v>
                </c:pt>
                <c:pt idx="1">
                  <c:v>B: Balanced</c:v>
                </c:pt>
                <c:pt idx="2">
                  <c:v>C: High-risk weighted</c:v>
                </c:pt>
              </c:strCache>
            </c:strRef>
          </c:cat>
          <c:val>
            <c:numRef>
              <c:f>'Banking Projection'!$C$15:$C$17</c:f>
              <c:numCache>
                <c:formatCode>#,##0</c:formatCode>
                <c:ptCount val="3"/>
                <c:pt idx="0">
                  <c:v>88800</c:v>
                </c:pt>
                <c:pt idx="1">
                  <c:v>536400</c:v>
                </c:pt>
                <c:pt idx="2">
                  <c:v>1016400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3C-A84E-93C6-F7FDEB069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671739"/>
        <c:axId val="76492114"/>
      </c:barChart>
      <c:catAx>
        <c:axId val="936717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92114"/>
        <c:crosses val="autoZero"/>
        <c:auto val="1"/>
        <c:lblAlgn val="ctr"/>
        <c:lblOffset val="100"/>
        <c:noMultiLvlLbl val="0"/>
      </c:catAx>
      <c:valAx>
        <c:axId val="764921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71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Risk vs Commission — by Client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Small fintech / SaaS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10B98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'Banking Projection'!$C$21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'Banking Projection'!$D$21</c:f>
              <c:numCache>
                <c:formatCode>General</c:formatCode>
                <c:ptCount val="1"/>
                <c:pt idx="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4-4543-AE92-62E82FC39DE4}"/>
            </c:ext>
          </c:extLst>
        </c:ser>
        <c:ser>
          <c:idx val="1"/>
          <c:order val="1"/>
          <c:tx>
            <c:v>Mid-tier corporate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3B82F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'Banking Projection'!$C$22</c:f>
              <c:numCache>
                <c:formatCode>General</c:formatCode>
                <c:ptCount val="1"/>
                <c:pt idx="0">
                  <c:v>30</c:v>
                </c:pt>
              </c:numCache>
            </c:numRef>
          </c:xVal>
          <c:yVal>
            <c:numRef>
              <c:f>'Banking Projection'!$D$22</c:f>
              <c:numCache>
                <c:formatCode>General</c:formatCode>
                <c:ptCount val="1"/>
                <c:pt idx="0">
                  <c:v>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C4-4543-AE92-62E82FC39DE4}"/>
            </c:ext>
          </c:extLst>
        </c:ser>
        <c:ser>
          <c:idx val="2"/>
          <c:order val="2"/>
          <c:tx>
            <c:v>Forex broker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F59E0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'Banking Projection'!$C$23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'Banking Projection'!$D$23</c:f>
              <c:numCache>
                <c:formatCode>General</c:formatCode>
                <c:ptCount val="1"/>
                <c:pt idx="0">
                  <c:v>36000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C4-4543-AE92-62E82FC39DE4}"/>
            </c:ext>
          </c:extLst>
        </c:ser>
        <c:ser>
          <c:idx val="3"/>
          <c:order val="3"/>
          <c:tx>
            <c:v>iGaming operator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EF444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'Banking Projection'!$C$24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'Banking Projection'!$D$24</c:f>
              <c:numCache>
                <c:formatCode>General</c:formatCode>
                <c:ptCount val="1"/>
                <c:pt idx="0">
                  <c:v>200000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C4-4543-AE92-62E82FC39DE4}"/>
            </c:ext>
          </c:extLst>
        </c:ser>
        <c:ser>
          <c:idx val="4"/>
          <c:order val="4"/>
          <c:tx>
            <c:v>Crypto / VASP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8B5CF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'Banking Projection'!$C$25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'Banking Projection'!$D$25</c:f>
              <c:numCache>
                <c:formatCode>General</c:formatCode>
                <c:ptCount val="1"/>
                <c:pt idx="0">
                  <c:v>250000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C4-4543-AE92-62E82FC3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5539"/>
        <c:axId val="3419201"/>
      </c:scatterChart>
      <c:valAx>
        <c:axId val="23485539"/>
        <c:scaling>
          <c:orientation val="minMax"/>
          <c:max val="12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Commission Rate (bps)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9201"/>
        <c:crosses val="autoZero"/>
        <c:crossBetween val="midCat"/>
      </c:valAx>
      <c:valAx>
        <c:axId val="3419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Annual Commission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4855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Licensing Revenue — New vs Renewal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'Licensing Projection'!$D$14</c:f>
              <c:strCache>
                <c:ptCount val="1"/>
                <c:pt idx="0">
                  <c:v>New Revenue ($)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'Licensing Projection'!$B$15:$B$19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'Licensing Projection'!$D$15:$D$19</c:f>
              <c:numCache>
                <c:formatCode>#,##0</c:formatCode>
                <c:ptCount val="5"/>
                <c:pt idx="0">
                  <c:v>0</c:v>
                </c:pt>
                <c:pt idx="1">
                  <c:v>34800</c:v>
                </c:pt>
                <c:pt idx="2">
                  <c:v>52200</c:v>
                </c:pt>
                <c:pt idx="3">
                  <c:v>69600</c:v>
                </c:pt>
                <c:pt idx="4">
                  <c:v>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0-494F-ABF3-F59BA8E005CC}"/>
            </c:ext>
          </c:extLst>
        </c:ser>
        <c:ser>
          <c:idx val="1"/>
          <c:order val="1"/>
          <c:tx>
            <c:strRef>
              <c:f>'Licensing Projection'!$F$14</c:f>
              <c:strCache>
                <c:ptCount val="1"/>
                <c:pt idx="0">
                  <c:v>Renewal Rev ($)</c:v>
                </c:pt>
              </c:strCache>
            </c:strRef>
          </c:tx>
          <c:spPr>
            <a:solidFill>
              <a:srgbClr val="10B98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'Licensing Projection'!$B$15:$B$19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'Licensing Projection'!$F$15:$F$19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5800</c:v>
                </c:pt>
                <c:pt idx="3">
                  <c:v>11600</c:v>
                </c:pt>
                <c:pt idx="4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0-494F-ABF3-F59BA8E00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3622"/>
        <c:axId val="74610741"/>
      </c:barChart>
      <c:catAx>
        <c:axId val="42136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10741"/>
        <c:crosses val="autoZero"/>
        <c:auto val="1"/>
        <c:lblAlgn val="ctr"/>
        <c:lblOffset val="100"/>
        <c:noMultiLvlLbl val="0"/>
      </c:catAx>
      <c:valAx>
        <c:axId val="74610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136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Licensing Cumulative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'Licensing Projection'!$H$14</c:f>
              <c:strCache>
                <c:ptCount val="1"/>
                <c:pt idx="0">
                  <c:v>Cumulative ($)</c:v>
                </c:pt>
              </c:strCache>
            </c:strRef>
          </c:tx>
          <c:spPr>
            <a:ln w="2808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'Licensing Projection'!$B$15:$B$19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'Licensing Projection'!$H$15:$H$19</c:f>
              <c:numCache>
                <c:formatCode>#,##0</c:formatCode>
                <c:ptCount val="5"/>
                <c:pt idx="0">
                  <c:v>0</c:v>
                </c:pt>
                <c:pt idx="1">
                  <c:v>34800</c:v>
                </c:pt>
                <c:pt idx="2">
                  <c:v>92800</c:v>
                </c:pt>
                <c:pt idx="3">
                  <c:v>174000</c:v>
                </c:pt>
                <c:pt idx="4">
                  <c:v>278400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37-2D4D-A30C-DD4609B6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195234"/>
        <c:axId val="11932783"/>
      </c:lineChart>
      <c:catAx>
        <c:axId val="481952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32783"/>
        <c:crosses val="autoZero"/>
        <c:auto val="1"/>
        <c:lblAlgn val="ctr"/>
        <c:lblOffset val="100"/>
        <c:noMultiLvlLbl val="0"/>
      </c:catAx>
      <c:valAx>
        <c:axId val="11932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95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Licensing Tier Fee Weight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2D6-F94A-B62E-F90271BA8CF4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2D6-F94A-B62E-F90271BA8CF4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2D6-F94A-B62E-F90271BA8CF4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2D6-F94A-B62E-F90271BA8CF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D6-F94A-B62E-F90271BA8CF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D6-F94A-B62E-F90271BA8CF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D6-F94A-B62E-F90271BA8CF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D6-F94A-B62E-F90271BA8C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'Licensing Projection'!$B$7:$B$10</c:f>
              <c:strCache>
                <c:ptCount val="4"/>
                <c:pt idx="0">
                  <c:v>Crypto / CASP</c:v>
                </c:pt>
                <c:pt idx="1">
                  <c:v>Forex / Securities</c:v>
                </c:pt>
                <c:pt idx="2">
                  <c:v>Banking</c:v>
                </c:pt>
                <c:pt idx="3">
                  <c:v>Fund / Gaming</c:v>
                </c:pt>
              </c:strCache>
            </c:strRef>
          </c:cat>
          <c:val>
            <c:numRef>
              <c:f>'Licensing Projection'!$D$7:$D$10</c:f>
              <c:numCache>
                <c:formatCode>#,##0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6-F94A-B62E-F90271BA8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6</xdr:col>
      <xdr:colOff>261720</xdr:colOff>
      <xdr:row>36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990600</xdr:colOff>
      <xdr:row>38</xdr:row>
      <xdr:rowOff>177800</xdr:rowOff>
    </xdr:from>
    <xdr:to>
      <xdr:col>6</xdr:col>
      <xdr:colOff>33120</xdr:colOff>
      <xdr:row>61</xdr:row>
      <xdr:rowOff>115820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685800</xdr:colOff>
      <xdr:row>15</xdr:row>
      <xdr:rowOff>0</xdr:rowOff>
    </xdr:from>
    <xdr:to>
      <xdr:col>12</xdr:col>
      <xdr:colOff>134720</xdr:colOff>
      <xdr:row>37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160920</xdr:rowOff>
    </xdr:from>
    <xdr:to>
      <xdr:col>5</xdr:col>
      <xdr:colOff>825120</xdr:colOff>
      <xdr:row>43</xdr:row>
      <xdr:rowOff>98280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15</xdr:col>
      <xdr:colOff>337320</xdr:colOff>
      <xdr:row>43</xdr:row>
      <xdr:rowOff>98280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825120</xdr:colOff>
      <xdr:row>42</xdr:row>
      <xdr:rowOff>97920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337320</xdr:colOff>
      <xdr:row>42</xdr:row>
      <xdr:rowOff>97920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825120</xdr:colOff>
      <xdr:row>42</xdr:row>
      <xdr:rowOff>97920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337320</xdr:colOff>
      <xdr:row>42</xdr:row>
      <xdr:rowOff>97920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825120</xdr:colOff>
      <xdr:row>42</xdr:row>
      <xdr:rowOff>97920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337320</xdr:colOff>
      <xdr:row>42</xdr:row>
      <xdr:rowOff>97920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825120</xdr:colOff>
      <xdr:row>42</xdr:row>
      <xdr:rowOff>97920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337320</xdr:colOff>
      <xdr:row>42</xdr:row>
      <xdr:rowOff>97920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26</xdr:row>
      <xdr:rowOff>0</xdr:rowOff>
    </xdr:from>
    <xdr:to>
      <xdr:col>14</xdr:col>
      <xdr:colOff>72720</xdr:colOff>
      <xdr:row>50</xdr:row>
      <xdr:rowOff>107280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76200</xdr:colOff>
      <xdr:row>54</xdr:row>
      <xdr:rowOff>76200</xdr:rowOff>
    </xdr:from>
    <xdr:to>
      <xdr:col>4</xdr:col>
      <xdr:colOff>886200</xdr:colOff>
      <xdr:row>78</xdr:row>
      <xdr:rowOff>183480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53</xdr:row>
      <xdr:rowOff>165100</xdr:rowOff>
    </xdr:from>
    <xdr:to>
      <xdr:col>14</xdr:col>
      <xdr:colOff>72720</xdr:colOff>
      <xdr:row>78</xdr:row>
      <xdr:rowOff>81880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5</xdr:col>
      <xdr:colOff>981720</xdr:colOff>
      <xdr:row>52</xdr:row>
      <xdr:rowOff>86400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10440</xdr:rowOff>
    </xdr:from>
    <xdr:to>
      <xdr:col>6</xdr:col>
      <xdr:colOff>261360</xdr:colOff>
      <xdr:row>42</xdr:row>
      <xdr:rowOff>138240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10440</xdr:rowOff>
    </xdr:from>
    <xdr:to>
      <xdr:col>15</xdr:col>
      <xdr:colOff>24840</xdr:colOff>
      <xdr:row>42</xdr:row>
      <xdr:rowOff>138240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12700</xdr:colOff>
      <xdr:row>46</xdr:row>
      <xdr:rowOff>86640</xdr:rowOff>
    </xdr:from>
    <xdr:to>
      <xdr:col>5</xdr:col>
      <xdr:colOff>681580</xdr:colOff>
      <xdr:row>69</xdr:row>
      <xdr:rowOff>23940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J12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11" width="16" customWidth="1"/>
  </cols>
  <sheetData>
    <row r="2" spans="2:10" ht="17.25" customHeight="1" x14ac:dyDescent="0.2">
      <c r="B2" s="13" t="s">
        <v>0</v>
      </c>
      <c r="C2" s="13"/>
      <c r="D2" s="13"/>
      <c r="E2" s="13"/>
      <c r="F2" s="13"/>
      <c r="G2" s="13"/>
      <c r="H2" s="13"/>
      <c r="I2" s="13"/>
    </row>
    <row r="3" spans="2:10" ht="15" customHeight="1" x14ac:dyDescent="0.2">
      <c r="B3" s="14" t="s">
        <v>1</v>
      </c>
      <c r="C3" s="14"/>
      <c r="D3" s="14"/>
      <c r="E3" s="14"/>
      <c r="F3" s="14"/>
      <c r="G3" s="14"/>
      <c r="H3" s="14"/>
      <c r="I3" s="14"/>
    </row>
    <row r="5" spans="2:10" ht="15" customHeight="1" x14ac:dyDescent="0.2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2" t="s">
        <v>9</v>
      </c>
      <c r="J5" s="3"/>
    </row>
    <row r="6" spans="2:10" ht="15" customHeight="1" x14ac:dyDescent="0.2">
      <c r="B6" s="4" t="s">
        <v>10</v>
      </c>
      <c r="C6" s="5" t="s">
        <v>11</v>
      </c>
      <c r="D6" s="6">
        <v>110900</v>
      </c>
      <c r="E6" s="6">
        <v>110900</v>
      </c>
      <c r="F6" s="6">
        <v>0</v>
      </c>
      <c r="G6" s="6">
        <v>0</v>
      </c>
      <c r="H6" s="5" t="s">
        <v>12</v>
      </c>
      <c r="I6" s="6">
        <v>110900</v>
      </c>
    </row>
    <row r="7" spans="2:10" ht="15" customHeight="1" x14ac:dyDescent="0.2">
      <c r="B7" s="4" t="s">
        <v>13</v>
      </c>
      <c r="C7" s="5" t="s">
        <v>14</v>
      </c>
      <c r="D7" s="6">
        <v>212780</v>
      </c>
      <c r="E7" s="6">
        <v>151600</v>
      </c>
      <c r="F7" s="6">
        <v>61180</v>
      </c>
      <c r="G7" s="6">
        <v>9</v>
      </c>
      <c r="H7" s="5" t="s">
        <v>15</v>
      </c>
      <c r="I7" s="6">
        <v>323680</v>
      </c>
    </row>
    <row r="8" spans="2:10" ht="15" customHeight="1" x14ac:dyDescent="0.2">
      <c r="B8" s="4" t="s">
        <v>16</v>
      </c>
      <c r="C8" s="5" t="s">
        <v>17</v>
      </c>
      <c r="D8" s="6">
        <v>315500</v>
      </c>
      <c r="E8" s="6">
        <v>167100</v>
      </c>
      <c r="F8" s="6">
        <v>148400</v>
      </c>
      <c r="G8" s="6">
        <v>22</v>
      </c>
      <c r="H8" s="5" t="s">
        <v>18</v>
      </c>
      <c r="I8" s="6">
        <v>639180</v>
      </c>
    </row>
    <row r="9" spans="2:10" ht="15" customHeight="1" x14ac:dyDescent="0.2">
      <c r="B9" s="4" t="s">
        <v>19</v>
      </c>
      <c r="C9" s="5" t="s">
        <v>20</v>
      </c>
      <c r="D9" s="6">
        <v>539970</v>
      </c>
      <c r="E9" s="6">
        <v>293500</v>
      </c>
      <c r="F9" s="6">
        <v>246470</v>
      </c>
      <c r="G9" s="6">
        <v>37</v>
      </c>
      <c r="H9" s="5" t="s">
        <v>21</v>
      </c>
      <c r="I9" s="6">
        <v>1179150</v>
      </c>
    </row>
    <row r="10" spans="2:10" ht="15" customHeight="1" x14ac:dyDescent="0.2">
      <c r="B10" s="4" t="s">
        <v>22</v>
      </c>
      <c r="C10" s="5" t="s">
        <v>23</v>
      </c>
      <c r="D10" s="6">
        <v>672740</v>
      </c>
      <c r="E10" s="6">
        <v>328200</v>
      </c>
      <c r="F10" s="6">
        <v>344540</v>
      </c>
      <c r="G10" s="6">
        <v>50</v>
      </c>
      <c r="H10" s="5" t="s">
        <v>24</v>
      </c>
      <c r="I10" s="6">
        <v>1851890</v>
      </c>
    </row>
    <row r="11" spans="2:10" ht="15" customHeight="1" x14ac:dyDescent="0.2">
      <c r="B11" s="7" t="s">
        <v>25</v>
      </c>
      <c r="C11" s="8" t="s">
        <v>12</v>
      </c>
      <c r="D11" s="9">
        <v>1851890</v>
      </c>
      <c r="E11" s="9">
        <v>1051300</v>
      </c>
      <c r="F11" s="9">
        <v>800590</v>
      </c>
      <c r="G11" s="9">
        <v>118</v>
      </c>
      <c r="H11" s="8" t="s">
        <v>12</v>
      </c>
    </row>
    <row r="12" spans="2:10" ht="15" customHeight="1" x14ac:dyDescent="0.2">
      <c r="B12" s="7" t="s">
        <v>26</v>
      </c>
      <c r="C12" s="8" t="s">
        <v>12</v>
      </c>
      <c r="D12" s="9">
        <v>167484932</v>
      </c>
      <c r="E12" s="8" t="s">
        <v>12</v>
      </c>
      <c r="F12" s="8" t="s">
        <v>12</v>
      </c>
      <c r="G12" s="8" t="s">
        <v>12</v>
      </c>
      <c r="H12" s="8" t="s">
        <v>12</v>
      </c>
    </row>
  </sheetData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B2:H19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3" t="s">
        <v>27</v>
      </c>
      <c r="C2" s="13"/>
      <c r="D2" s="13"/>
      <c r="E2" s="13"/>
      <c r="F2" s="13"/>
      <c r="G2" s="13"/>
      <c r="H2" s="13"/>
    </row>
    <row r="3" spans="2:8" ht="15" customHeight="1" x14ac:dyDescent="0.2">
      <c r="B3" s="14" t="s">
        <v>28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6</v>
      </c>
      <c r="D6" s="6">
        <v>2500</v>
      </c>
      <c r="E6" s="6">
        <v>15000</v>
      </c>
      <c r="F6" s="6">
        <v>0</v>
      </c>
      <c r="G6" s="6">
        <v>0</v>
      </c>
      <c r="H6" s="6">
        <v>15000</v>
      </c>
    </row>
    <row r="7" spans="2:8" ht="15" customHeight="1" x14ac:dyDescent="0.2">
      <c r="B7" s="4" t="s">
        <v>33</v>
      </c>
      <c r="C7" s="6">
        <v>1</v>
      </c>
      <c r="D7" s="6">
        <v>13000</v>
      </c>
      <c r="E7" s="6">
        <v>13000</v>
      </c>
      <c r="F7" s="6">
        <v>0</v>
      </c>
      <c r="G7" s="6">
        <v>0</v>
      </c>
      <c r="H7" s="6">
        <v>13000</v>
      </c>
    </row>
    <row r="8" spans="2:8" ht="15" customHeight="1" x14ac:dyDescent="0.2">
      <c r="B8" s="4" t="s">
        <v>34</v>
      </c>
      <c r="C8" s="6">
        <v>2</v>
      </c>
      <c r="D8" s="6">
        <v>29700</v>
      </c>
      <c r="E8" s="6">
        <v>59400</v>
      </c>
      <c r="F8" s="6">
        <v>0</v>
      </c>
      <c r="G8" s="6">
        <v>0</v>
      </c>
      <c r="H8" s="6">
        <v>59400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36</v>
      </c>
      <c r="C10" s="6">
        <v>2</v>
      </c>
      <c r="D10" s="6">
        <v>1500</v>
      </c>
      <c r="E10" s="6">
        <v>3000</v>
      </c>
      <c r="F10" s="6">
        <v>0</v>
      </c>
      <c r="G10" s="6">
        <v>0</v>
      </c>
      <c r="H10" s="6">
        <v>3000</v>
      </c>
    </row>
    <row r="11" spans="2:8" ht="15" customHeight="1" x14ac:dyDescent="0.2">
      <c r="B11" s="4" t="s">
        <v>37</v>
      </c>
      <c r="C11" s="6">
        <v>1</v>
      </c>
      <c r="D11" s="6">
        <v>6500</v>
      </c>
      <c r="E11" s="6">
        <v>6500</v>
      </c>
      <c r="F11" s="6">
        <v>0</v>
      </c>
      <c r="G11" s="6">
        <v>0</v>
      </c>
      <c r="H11" s="6">
        <v>6500</v>
      </c>
    </row>
    <row r="12" spans="2:8" ht="15" customHeight="1" x14ac:dyDescent="0.2">
      <c r="B12" s="7" t="s">
        <v>38</v>
      </c>
      <c r="C12" s="9">
        <v>16</v>
      </c>
      <c r="D12" s="8" t="s">
        <v>12</v>
      </c>
      <c r="E12" s="9">
        <v>110900</v>
      </c>
      <c r="F12" s="9">
        <v>0</v>
      </c>
      <c r="G12" s="9">
        <v>0</v>
      </c>
      <c r="H12" s="9">
        <v>110900</v>
      </c>
    </row>
    <row r="13" spans="2:8" ht="15" customHeight="1" x14ac:dyDescent="0.2">
      <c r="B13" s="7" t="s">
        <v>39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9">
        <v>10029796</v>
      </c>
    </row>
    <row r="15" spans="2:8" ht="15" customHeight="1" x14ac:dyDescent="0.2">
      <c r="B15" s="10" t="s">
        <v>40</v>
      </c>
    </row>
    <row r="16" spans="2:8" ht="15" customHeight="1" x14ac:dyDescent="0.2">
      <c r="B16" s="11" t="s">
        <v>41</v>
      </c>
      <c r="C16" s="12">
        <v>110900</v>
      </c>
    </row>
    <row r="17" spans="2:3" ht="15" customHeight="1" x14ac:dyDescent="0.2">
      <c r="B17" s="11" t="s">
        <v>42</v>
      </c>
      <c r="C17" s="12">
        <v>10029796</v>
      </c>
    </row>
    <row r="18" spans="2:3" ht="15" customHeight="1" x14ac:dyDescent="0.2">
      <c r="B18" s="11" t="s">
        <v>43</v>
      </c>
      <c r="C18" s="12">
        <v>16</v>
      </c>
    </row>
    <row r="19" spans="2:3" ht="15" customHeight="1" x14ac:dyDescent="0.2">
      <c r="B19" s="11" t="s">
        <v>44</v>
      </c>
      <c r="C19" s="12">
        <v>6931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3" t="s">
        <v>45</v>
      </c>
      <c r="C2" s="13"/>
      <c r="D2" s="13"/>
      <c r="E2" s="13"/>
      <c r="F2" s="13"/>
      <c r="G2" s="13"/>
      <c r="H2" s="13"/>
    </row>
    <row r="3" spans="2:8" ht="15" customHeight="1" x14ac:dyDescent="0.2">
      <c r="B3" s="14" t="s">
        <v>46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9</v>
      </c>
      <c r="D6" s="6">
        <v>2500</v>
      </c>
      <c r="E6" s="6">
        <v>22500</v>
      </c>
      <c r="F6" s="6">
        <v>6</v>
      </c>
      <c r="G6" s="6">
        <v>10500</v>
      </c>
      <c r="H6" s="6">
        <v>33000</v>
      </c>
    </row>
    <row r="7" spans="2:8" ht="15" customHeight="1" x14ac:dyDescent="0.2">
      <c r="B7" s="4" t="s">
        <v>33</v>
      </c>
      <c r="C7" s="6">
        <v>1</v>
      </c>
      <c r="D7" s="6">
        <v>13000</v>
      </c>
      <c r="E7" s="6">
        <v>13000</v>
      </c>
      <c r="F7" s="6">
        <v>1</v>
      </c>
      <c r="G7" s="6">
        <v>9100</v>
      </c>
      <c r="H7" s="6">
        <v>22100</v>
      </c>
    </row>
    <row r="8" spans="2:8" ht="15" customHeight="1" x14ac:dyDescent="0.2">
      <c r="B8" s="4" t="s">
        <v>34</v>
      </c>
      <c r="C8" s="6">
        <v>3</v>
      </c>
      <c r="D8" s="6">
        <v>29700</v>
      </c>
      <c r="E8" s="6">
        <v>89100</v>
      </c>
      <c r="F8" s="6">
        <v>2</v>
      </c>
      <c r="G8" s="6">
        <v>41580</v>
      </c>
      <c r="H8" s="6">
        <v>130680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2</v>
      </c>
      <c r="D10" s="6">
        <v>6500</v>
      </c>
      <c r="E10" s="6">
        <v>13000</v>
      </c>
      <c r="F10" s="6">
        <v>0</v>
      </c>
      <c r="G10" s="6">
        <v>0</v>
      </c>
      <c r="H10" s="6">
        <v>13000</v>
      </c>
    </row>
    <row r="11" spans="2:8" ht="15" customHeight="1" x14ac:dyDescent="0.2">
      <c r="B11" s="7" t="s">
        <v>38</v>
      </c>
      <c r="C11" s="9">
        <v>19</v>
      </c>
      <c r="D11" s="8" t="s">
        <v>12</v>
      </c>
      <c r="E11" s="9">
        <v>151600</v>
      </c>
      <c r="F11" s="9">
        <v>9</v>
      </c>
      <c r="G11" s="9">
        <v>61180</v>
      </c>
      <c r="H11" s="9">
        <v>212780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19243823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212780</v>
      </c>
    </row>
    <row r="16" spans="2:8" ht="15" customHeight="1" x14ac:dyDescent="0.2">
      <c r="B16" s="11" t="s">
        <v>42</v>
      </c>
      <c r="C16" s="12">
        <v>19243823</v>
      </c>
    </row>
    <row r="17" spans="2:3" ht="15" customHeight="1" x14ac:dyDescent="0.2">
      <c r="B17" s="11" t="s">
        <v>43</v>
      </c>
      <c r="C17" s="12">
        <v>19</v>
      </c>
    </row>
    <row r="18" spans="2:3" ht="15" customHeight="1" x14ac:dyDescent="0.2">
      <c r="B18" s="11" t="s">
        <v>44</v>
      </c>
      <c r="C18" s="12">
        <v>11199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3" t="s">
        <v>47</v>
      </c>
      <c r="C2" s="13"/>
      <c r="D2" s="13"/>
      <c r="E2" s="13"/>
      <c r="F2" s="13"/>
      <c r="G2" s="13"/>
      <c r="H2" s="13"/>
    </row>
    <row r="3" spans="2:8" ht="15" customHeight="1" x14ac:dyDescent="0.2">
      <c r="B3" s="14" t="s">
        <v>48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10</v>
      </c>
      <c r="D6" s="6">
        <v>2500</v>
      </c>
      <c r="E6" s="6">
        <v>25000</v>
      </c>
      <c r="F6" s="6">
        <v>15</v>
      </c>
      <c r="G6" s="6">
        <v>26250</v>
      </c>
      <c r="H6" s="6">
        <v>51250</v>
      </c>
    </row>
    <row r="7" spans="2:8" ht="15" customHeight="1" x14ac:dyDescent="0.2">
      <c r="B7" s="4" t="s">
        <v>33</v>
      </c>
      <c r="C7" s="6">
        <v>2</v>
      </c>
      <c r="D7" s="6">
        <v>13000</v>
      </c>
      <c r="E7" s="6">
        <v>26000</v>
      </c>
      <c r="F7" s="6">
        <v>2</v>
      </c>
      <c r="G7" s="6">
        <v>18200</v>
      </c>
      <c r="H7" s="6">
        <v>44200</v>
      </c>
    </row>
    <row r="8" spans="2:8" ht="15" customHeight="1" x14ac:dyDescent="0.2">
      <c r="B8" s="4" t="s">
        <v>34</v>
      </c>
      <c r="C8" s="6">
        <v>3</v>
      </c>
      <c r="D8" s="6">
        <v>29700</v>
      </c>
      <c r="E8" s="6">
        <v>89100</v>
      </c>
      <c r="F8" s="6">
        <v>5</v>
      </c>
      <c r="G8" s="6">
        <v>103950</v>
      </c>
      <c r="H8" s="6">
        <v>193050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2</v>
      </c>
      <c r="D10" s="6">
        <v>6500</v>
      </c>
      <c r="E10" s="6">
        <v>13000</v>
      </c>
      <c r="F10" s="6">
        <v>0</v>
      </c>
      <c r="G10" s="6">
        <v>0</v>
      </c>
      <c r="H10" s="6">
        <v>13000</v>
      </c>
    </row>
    <row r="11" spans="2:8" ht="15" customHeight="1" x14ac:dyDescent="0.2">
      <c r="B11" s="7" t="s">
        <v>38</v>
      </c>
      <c r="C11" s="9">
        <v>21</v>
      </c>
      <c r="D11" s="8" t="s">
        <v>12</v>
      </c>
      <c r="E11" s="9">
        <v>167100</v>
      </c>
      <c r="F11" s="9">
        <v>22</v>
      </c>
      <c r="G11" s="9">
        <v>148400</v>
      </c>
      <c r="H11" s="9">
        <v>315500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28533820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315500</v>
      </c>
    </row>
    <row r="16" spans="2:8" ht="15" customHeight="1" x14ac:dyDescent="0.2">
      <c r="B16" s="11" t="s">
        <v>42</v>
      </c>
      <c r="C16" s="12">
        <v>28533820</v>
      </c>
    </row>
    <row r="17" spans="2:3" ht="15" customHeight="1" x14ac:dyDescent="0.2">
      <c r="B17" s="11" t="s">
        <v>43</v>
      </c>
      <c r="C17" s="12">
        <v>21</v>
      </c>
    </row>
    <row r="18" spans="2:3" ht="15" customHeight="1" x14ac:dyDescent="0.2">
      <c r="B18" s="11" t="s">
        <v>44</v>
      </c>
      <c r="C18" s="12">
        <v>15024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3" t="s">
        <v>49</v>
      </c>
      <c r="C2" s="13"/>
      <c r="D2" s="13"/>
      <c r="E2" s="13"/>
      <c r="F2" s="13"/>
      <c r="G2" s="13"/>
      <c r="H2" s="13"/>
    </row>
    <row r="3" spans="2:8" ht="15" customHeight="1" x14ac:dyDescent="0.2">
      <c r="B3" s="14" t="s">
        <v>50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16</v>
      </c>
      <c r="D6" s="6">
        <v>2500</v>
      </c>
      <c r="E6" s="6">
        <v>40000</v>
      </c>
      <c r="F6" s="6">
        <v>25</v>
      </c>
      <c r="G6" s="6">
        <v>43750</v>
      </c>
      <c r="H6" s="6">
        <v>83750</v>
      </c>
    </row>
    <row r="7" spans="2:8" ht="15" customHeight="1" x14ac:dyDescent="0.2">
      <c r="B7" s="4" t="s">
        <v>33</v>
      </c>
      <c r="C7" s="6">
        <v>3</v>
      </c>
      <c r="D7" s="6">
        <v>13000</v>
      </c>
      <c r="E7" s="6">
        <v>39000</v>
      </c>
      <c r="F7" s="6">
        <v>4</v>
      </c>
      <c r="G7" s="6">
        <v>36400</v>
      </c>
      <c r="H7" s="6">
        <v>75400</v>
      </c>
    </row>
    <row r="8" spans="2:8" ht="15" customHeight="1" x14ac:dyDescent="0.2">
      <c r="B8" s="4" t="s">
        <v>34</v>
      </c>
      <c r="C8" s="6">
        <v>5</v>
      </c>
      <c r="D8" s="6">
        <v>29700</v>
      </c>
      <c r="E8" s="6">
        <v>148500</v>
      </c>
      <c r="F8" s="6">
        <v>8</v>
      </c>
      <c r="G8" s="6">
        <v>166320</v>
      </c>
      <c r="H8" s="6">
        <v>314820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8</v>
      </c>
      <c r="D10" s="6">
        <v>6500</v>
      </c>
      <c r="E10" s="6">
        <v>52000</v>
      </c>
      <c r="F10" s="6">
        <v>0</v>
      </c>
      <c r="G10" s="6">
        <v>0</v>
      </c>
      <c r="H10" s="6">
        <v>52000</v>
      </c>
    </row>
    <row r="11" spans="2:8" ht="15" customHeight="1" x14ac:dyDescent="0.2">
      <c r="B11" s="7" t="s">
        <v>38</v>
      </c>
      <c r="C11" s="9">
        <v>36</v>
      </c>
      <c r="D11" s="8" t="s">
        <v>12</v>
      </c>
      <c r="E11" s="9">
        <v>293500</v>
      </c>
      <c r="F11" s="9">
        <v>37</v>
      </c>
      <c r="G11" s="9">
        <v>246470</v>
      </c>
      <c r="H11" s="9">
        <v>539970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48834887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539970</v>
      </c>
    </row>
    <row r="16" spans="2:8" ht="15" customHeight="1" x14ac:dyDescent="0.2">
      <c r="B16" s="11" t="s">
        <v>42</v>
      </c>
      <c r="C16" s="12">
        <v>48834887</v>
      </c>
    </row>
    <row r="17" spans="2:3" ht="15" customHeight="1" x14ac:dyDescent="0.2">
      <c r="B17" s="11" t="s">
        <v>43</v>
      </c>
      <c r="C17" s="12">
        <v>36</v>
      </c>
    </row>
    <row r="18" spans="2:3" ht="15" customHeight="1" x14ac:dyDescent="0.2">
      <c r="B18" s="11" t="s">
        <v>44</v>
      </c>
      <c r="C18" s="12">
        <v>14999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3" t="s">
        <v>51</v>
      </c>
      <c r="C2" s="13"/>
      <c r="D2" s="13"/>
      <c r="E2" s="13"/>
      <c r="F2" s="13"/>
      <c r="G2" s="13"/>
      <c r="H2" s="13"/>
    </row>
    <row r="3" spans="2:8" ht="15" customHeight="1" x14ac:dyDescent="0.2">
      <c r="B3" s="14" t="s">
        <v>52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18</v>
      </c>
      <c r="D6" s="6">
        <v>2500</v>
      </c>
      <c r="E6" s="6">
        <v>45000</v>
      </c>
      <c r="F6" s="6">
        <v>34</v>
      </c>
      <c r="G6" s="6">
        <v>63000</v>
      </c>
      <c r="H6" s="6">
        <v>108000</v>
      </c>
    </row>
    <row r="7" spans="2:8" ht="15" customHeight="1" x14ac:dyDescent="0.2">
      <c r="B7" s="4" t="s">
        <v>33</v>
      </c>
      <c r="C7" s="6">
        <v>3</v>
      </c>
      <c r="D7" s="6">
        <v>13000</v>
      </c>
      <c r="E7" s="6">
        <v>39000</v>
      </c>
      <c r="F7" s="6">
        <v>5</v>
      </c>
      <c r="G7" s="6">
        <v>45500</v>
      </c>
      <c r="H7" s="6">
        <v>84500</v>
      </c>
    </row>
    <row r="8" spans="2:8" ht="15" customHeight="1" x14ac:dyDescent="0.2">
      <c r="B8" s="4" t="s">
        <v>34</v>
      </c>
      <c r="C8" s="6">
        <v>6</v>
      </c>
      <c r="D8" s="6">
        <v>29700</v>
      </c>
      <c r="E8" s="6">
        <v>178200</v>
      </c>
      <c r="F8" s="6">
        <v>11</v>
      </c>
      <c r="G8" s="6">
        <v>236040</v>
      </c>
      <c r="H8" s="6">
        <v>414240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8</v>
      </c>
      <c r="D10" s="6">
        <v>6500</v>
      </c>
      <c r="E10" s="6">
        <v>52000</v>
      </c>
      <c r="F10" s="6">
        <v>0</v>
      </c>
      <c r="G10" s="6">
        <v>0</v>
      </c>
      <c r="H10" s="6">
        <v>52000</v>
      </c>
    </row>
    <row r="11" spans="2:8" ht="15" customHeight="1" x14ac:dyDescent="0.2">
      <c r="B11" s="7" t="s">
        <v>38</v>
      </c>
      <c r="C11" s="9">
        <v>39</v>
      </c>
      <c r="D11" s="8" t="s">
        <v>12</v>
      </c>
      <c r="E11" s="9">
        <v>328200</v>
      </c>
      <c r="F11" s="9">
        <v>50</v>
      </c>
      <c r="G11" s="9">
        <v>344540</v>
      </c>
      <c r="H11" s="9">
        <v>672740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60842606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672740</v>
      </c>
    </row>
    <row r="16" spans="2:8" ht="15" customHeight="1" x14ac:dyDescent="0.2">
      <c r="B16" s="11" t="s">
        <v>42</v>
      </c>
      <c r="C16" s="12">
        <v>60842606</v>
      </c>
    </row>
    <row r="17" spans="2:3" ht="15" customHeight="1" x14ac:dyDescent="0.2">
      <c r="B17" s="11" t="s">
        <v>43</v>
      </c>
      <c r="C17" s="12">
        <v>39</v>
      </c>
    </row>
    <row r="18" spans="2:3" ht="15" customHeight="1" x14ac:dyDescent="0.2">
      <c r="B18" s="11" t="s">
        <v>44</v>
      </c>
      <c r="C18" s="12">
        <v>17250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B2:H25"/>
  <sheetViews>
    <sheetView tabSelected="1" topLeftCell="A35" zoomScaleNormal="100" workbookViewId="0">
      <selection activeCell="H63" sqref="H63"/>
    </sheetView>
  </sheetViews>
  <sheetFormatPr baseColWidth="10" defaultColWidth="8.6640625" defaultRowHeight="15" x14ac:dyDescent="0.2"/>
  <cols>
    <col min="1" max="1" width="18" customWidth="1"/>
    <col min="2" max="2" width="24" customWidth="1"/>
    <col min="3" max="13" width="18" customWidth="1"/>
  </cols>
  <sheetData>
    <row r="2" spans="2:8" ht="17.25" customHeight="1" x14ac:dyDescent="0.2">
      <c r="B2" s="13" t="s">
        <v>53</v>
      </c>
      <c r="C2" s="13"/>
      <c r="D2" s="13"/>
      <c r="E2" s="13"/>
      <c r="F2" s="13"/>
      <c r="G2" s="13"/>
      <c r="H2" s="13"/>
    </row>
    <row r="3" spans="2:8" ht="15" customHeight="1" x14ac:dyDescent="0.2">
      <c r="B3" s="14" t="s">
        <v>54</v>
      </c>
      <c r="C3" s="14"/>
      <c r="D3" s="14"/>
      <c r="E3" s="14"/>
      <c r="F3" s="14"/>
      <c r="G3" s="14"/>
      <c r="H3" s="14"/>
    </row>
    <row r="5" spans="2:8" ht="26.25" customHeight="1" x14ac:dyDescent="0.2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2:8" ht="15" customHeight="1" x14ac:dyDescent="0.2">
      <c r="B6" s="4" t="s">
        <v>60</v>
      </c>
      <c r="C6" s="5" t="s">
        <v>61</v>
      </c>
      <c r="D6" s="6">
        <v>600000</v>
      </c>
      <c r="E6" s="6">
        <v>20</v>
      </c>
      <c r="F6" s="6">
        <v>1200</v>
      </c>
    </row>
    <row r="7" spans="2:8" ht="15" customHeight="1" x14ac:dyDescent="0.2">
      <c r="B7" s="4" t="s">
        <v>62</v>
      </c>
      <c r="C7" s="5" t="s">
        <v>63</v>
      </c>
      <c r="D7" s="6">
        <v>1200000</v>
      </c>
      <c r="E7" s="6">
        <v>30</v>
      </c>
      <c r="F7" s="6">
        <v>3600</v>
      </c>
    </row>
    <row r="8" spans="2:8" ht="15" customHeight="1" x14ac:dyDescent="0.2">
      <c r="B8" s="4" t="s">
        <v>64</v>
      </c>
      <c r="C8" s="5" t="s">
        <v>65</v>
      </c>
      <c r="D8" s="6">
        <v>6000000</v>
      </c>
      <c r="E8" s="6">
        <v>60</v>
      </c>
      <c r="F8" s="6">
        <v>36000</v>
      </c>
    </row>
    <row r="9" spans="2:8" ht="15" customHeight="1" x14ac:dyDescent="0.2">
      <c r="B9" s="4" t="s">
        <v>66</v>
      </c>
      <c r="C9" s="5" t="s">
        <v>67</v>
      </c>
      <c r="D9" s="6">
        <v>25000000</v>
      </c>
      <c r="E9" s="6">
        <v>80</v>
      </c>
      <c r="F9" s="6">
        <v>200000</v>
      </c>
    </row>
    <row r="10" spans="2:8" ht="15" customHeight="1" x14ac:dyDescent="0.2">
      <c r="B10" s="4" t="s">
        <v>68</v>
      </c>
      <c r="C10" s="5" t="s">
        <v>67</v>
      </c>
      <c r="D10" s="6">
        <v>25000000</v>
      </c>
      <c r="E10" s="6">
        <v>100</v>
      </c>
      <c r="F10" s="6">
        <v>250000</v>
      </c>
    </row>
    <row r="11" spans="2:8" ht="15" customHeight="1" x14ac:dyDescent="0.2">
      <c r="B11" s="7" t="s">
        <v>69</v>
      </c>
      <c r="C11" s="8" t="s">
        <v>12</v>
      </c>
      <c r="D11" s="9">
        <v>57800000</v>
      </c>
      <c r="E11" s="8" t="s">
        <v>12</v>
      </c>
      <c r="F11" s="9">
        <v>490800</v>
      </c>
    </row>
    <row r="13" spans="2:8" ht="15" customHeight="1" x14ac:dyDescent="0.2">
      <c r="B13" s="10" t="s">
        <v>70</v>
      </c>
    </row>
    <row r="14" spans="2:8" ht="26.25" customHeight="1" x14ac:dyDescent="0.2">
      <c r="B14" s="1" t="s">
        <v>71</v>
      </c>
      <c r="C14" s="1" t="s">
        <v>72</v>
      </c>
      <c r="D14" s="1" t="s">
        <v>60</v>
      </c>
      <c r="E14" s="1" t="s">
        <v>62</v>
      </c>
      <c r="F14" s="1" t="s">
        <v>64</v>
      </c>
      <c r="G14" s="1" t="s">
        <v>66</v>
      </c>
      <c r="H14" s="1" t="s">
        <v>68</v>
      </c>
    </row>
    <row r="15" spans="2:8" ht="15" customHeight="1" x14ac:dyDescent="0.2">
      <c r="B15" s="4" t="s">
        <v>73</v>
      </c>
      <c r="C15" s="6">
        <v>88800</v>
      </c>
      <c r="D15" s="6">
        <v>5</v>
      </c>
      <c r="E15" s="6">
        <v>3</v>
      </c>
      <c r="F15" s="6">
        <v>2</v>
      </c>
      <c r="G15" s="6">
        <v>0</v>
      </c>
      <c r="H15" s="6">
        <v>0</v>
      </c>
    </row>
    <row r="16" spans="2:8" ht="15" customHeight="1" x14ac:dyDescent="0.2">
      <c r="B16" s="4" t="s">
        <v>74</v>
      </c>
      <c r="C16" s="6">
        <v>536400</v>
      </c>
      <c r="D16" s="6">
        <v>3</v>
      </c>
      <c r="E16" s="6">
        <v>3</v>
      </c>
      <c r="F16" s="6">
        <v>2</v>
      </c>
      <c r="G16" s="6">
        <v>1</v>
      </c>
      <c r="H16" s="6">
        <v>1</v>
      </c>
    </row>
    <row r="17" spans="2:8" ht="15" customHeight="1" x14ac:dyDescent="0.2">
      <c r="B17" s="4" t="s">
        <v>75</v>
      </c>
      <c r="C17" s="6">
        <v>1016400</v>
      </c>
      <c r="D17" s="6">
        <v>1</v>
      </c>
      <c r="E17" s="6">
        <v>2</v>
      </c>
      <c r="F17" s="6">
        <v>3</v>
      </c>
      <c r="G17" s="6">
        <v>2</v>
      </c>
      <c r="H17" s="6">
        <v>2</v>
      </c>
    </row>
    <row r="20" spans="2:8" ht="15" customHeight="1" x14ac:dyDescent="0.2">
      <c r="B20" t="s">
        <v>76</v>
      </c>
      <c r="C20" t="s">
        <v>77</v>
      </c>
      <c r="D20" t="s">
        <v>78</v>
      </c>
    </row>
    <row r="21" spans="2:8" ht="15" customHeight="1" x14ac:dyDescent="0.2">
      <c r="B21" t="s">
        <v>60</v>
      </c>
      <c r="C21">
        <v>20</v>
      </c>
      <c r="D21">
        <v>1200</v>
      </c>
    </row>
    <row r="22" spans="2:8" ht="15" customHeight="1" x14ac:dyDescent="0.2">
      <c r="B22" t="s">
        <v>62</v>
      </c>
      <c r="C22">
        <v>30</v>
      </c>
      <c r="D22">
        <v>3600</v>
      </c>
    </row>
    <row r="23" spans="2:8" ht="15" customHeight="1" x14ac:dyDescent="0.2">
      <c r="B23" t="s">
        <v>64</v>
      </c>
      <c r="C23">
        <v>60</v>
      </c>
      <c r="D23">
        <v>36000</v>
      </c>
    </row>
    <row r="24" spans="2:8" ht="15" customHeight="1" x14ac:dyDescent="0.2">
      <c r="B24" t="s">
        <v>66</v>
      </c>
      <c r="C24">
        <v>80</v>
      </c>
      <c r="D24">
        <v>200000</v>
      </c>
    </row>
    <row r="25" spans="2:8" ht="15" customHeight="1" x14ac:dyDescent="0.2">
      <c r="B25" t="s">
        <v>68</v>
      </c>
      <c r="C25">
        <v>100</v>
      </c>
      <c r="D25">
        <v>250000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2A4A"/>
  </sheetPr>
  <dimension ref="B2:I20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13" width="16" customWidth="1"/>
  </cols>
  <sheetData>
    <row r="2" spans="2:9" ht="17.25" customHeight="1" x14ac:dyDescent="0.2">
      <c r="B2" s="13" t="s">
        <v>79</v>
      </c>
      <c r="C2" s="13"/>
      <c r="D2" s="13"/>
      <c r="E2" s="13"/>
      <c r="F2" s="13"/>
      <c r="G2" s="13"/>
      <c r="H2" s="13"/>
      <c r="I2" s="13"/>
    </row>
    <row r="3" spans="2:9" ht="15" customHeight="1" x14ac:dyDescent="0.2">
      <c r="B3" s="14" t="s">
        <v>80</v>
      </c>
      <c r="C3" s="14"/>
      <c r="D3" s="14"/>
      <c r="E3" s="14"/>
      <c r="F3" s="14"/>
      <c r="G3" s="14"/>
      <c r="H3" s="14"/>
      <c r="I3" s="14"/>
    </row>
    <row r="5" spans="2:9" ht="15" customHeight="1" x14ac:dyDescent="0.2">
      <c r="B5" s="10" t="s">
        <v>81</v>
      </c>
    </row>
    <row r="6" spans="2:9" ht="15" customHeight="1" x14ac:dyDescent="0.2">
      <c r="B6" s="1" t="s">
        <v>76</v>
      </c>
      <c r="C6" s="1" t="s">
        <v>82</v>
      </c>
      <c r="D6" s="1" t="s">
        <v>83</v>
      </c>
      <c r="E6" s="1" t="s">
        <v>84</v>
      </c>
      <c r="F6" s="1" t="s">
        <v>85</v>
      </c>
    </row>
    <row r="7" spans="2:9" ht="15" customHeight="1" x14ac:dyDescent="0.2">
      <c r="B7" s="4" t="s">
        <v>86</v>
      </c>
      <c r="C7" s="6">
        <v>5</v>
      </c>
      <c r="D7" s="6">
        <v>0.45</v>
      </c>
      <c r="E7" s="6">
        <v>12000</v>
      </c>
      <c r="F7" s="6">
        <v>4000</v>
      </c>
    </row>
    <row r="8" spans="2:9" ht="15" customHeight="1" x14ac:dyDescent="0.2">
      <c r="B8" s="4" t="s">
        <v>87</v>
      </c>
      <c r="C8" s="6">
        <v>4</v>
      </c>
      <c r="D8" s="6">
        <v>0.25</v>
      </c>
      <c r="E8" s="6">
        <v>18000</v>
      </c>
      <c r="F8" s="6">
        <v>6000</v>
      </c>
    </row>
    <row r="9" spans="2:9" ht="15" customHeight="1" x14ac:dyDescent="0.2">
      <c r="B9" s="4" t="s">
        <v>37</v>
      </c>
      <c r="C9" s="6">
        <v>3</v>
      </c>
      <c r="D9" s="6">
        <v>0.1</v>
      </c>
      <c r="E9" s="6">
        <v>35000</v>
      </c>
      <c r="F9" s="6">
        <v>15000</v>
      </c>
    </row>
    <row r="10" spans="2:9" ht="15" customHeight="1" x14ac:dyDescent="0.2">
      <c r="B10" s="4" t="s">
        <v>88</v>
      </c>
      <c r="C10" s="6">
        <v>3</v>
      </c>
      <c r="D10" s="6">
        <v>0.2</v>
      </c>
      <c r="E10" s="6">
        <v>20000</v>
      </c>
      <c r="F10" s="6">
        <v>5000</v>
      </c>
    </row>
    <row r="13" spans="2:9" ht="15" customHeight="1" x14ac:dyDescent="0.2">
      <c r="B13" s="10" t="s">
        <v>89</v>
      </c>
    </row>
    <row r="14" spans="2:9" ht="26.25" customHeight="1" x14ac:dyDescent="0.2">
      <c r="B14" s="1" t="s">
        <v>2</v>
      </c>
      <c r="C14" s="1" t="s">
        <v>90</v>
      </c>
      <c r="D14" s="1" t="s">
        <v>91</v>
      </c>
      <c r="E14" s="1" t="s">
        <v>7</v>
      </c>
      <c r="F14" s="1" t="s">
        <v>92</v>
      </c>
      <c r="G14" s="1" t="s">
        <v>93</v>
      </c>
      <c r="H14" s="1" t="s">
        <v>94</v>
      </c>
    </row>
    <row r="15" spans="2:9" ht="15" customHeight="1" x14ac:dyDescent="0.2">
      <c r="B15" s="4" t="s">
        <v>95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2:9" ht="15" customHeight="1" x14ac:dyDescent="0.2">
      <c r="B16" s="4" t="s">
        <v>96</v>
      </c>
      <c r="C16" s="6">
        <v>2</v>
      </c>
      <c r="D16" s="6">
        <v>34800</v>
      </c>
      <c r="E16" s="6">
        <v>0</v>
      </c>
      <c r="F16" s="6">
        <v>0</v>
      </c>
      <c r="G16" s="6">
        <v>34800</v>
      </c>
      <c r="H16" s="6">
        <v>34800</v>
      </c>
    </row>
    <row r="17" spans="2:8" ht="15" customHeight="1" x14ac:dyDescent="0.2">
      <c r="B17" s="4" t="s">
        <v>97</v>
      </c>
      <c r="C17" s="6">
        <v>3</v>
      </c>
      <c r="D17" s="6">
        <v>52200</v>
      </c>
      <c r="E17" s="6">
        <v>1</v>
      </c>
      <c r="F17" s="6">
        <v>5800</v>
      </c>
      <c r="G17" s="6">
        <v>58000</v>
      </c>
      <c r="H17" s="6">
        <v>92800</v>
      </c>
    </row>
    <row r="18" spans="2:8" ht="15" customHeight="1" x14ac:dyDescent="0.2">
      <c r="B18" s="4" t="s">
        <v>98</v>
      </c>
      <c r="C18" s="6">
        <v>4</v>
      </c>
      <c r="D18" s="6">
        <v>69600</v>
      </c>
      <c r="E18" s="6">
        <v>2</v>
      </c>
      <c r="F18" s="6">
        <v>11600</v>
      </c>
      <c r="G18" s="6">
        <v>81200</v>
      </c>
      <c r="H18" s="6">
        <v>174000</v>
      </c>
    </row>
    <row r="19" spans="2:8" ht="15" customHeight="1" x14ac:dyDescent="0.2">
      <c r="B19" s="4" t="s">
        <v>99</v>
      </c>
      <c r="C19" s="6">
        <v>5</v>
      </c>
      <c r="D19" s="6">
        <v>87000</v>
      </c>
      <c r="E19" s="6">
        <v>3</v>
      </c>
      <c r="F19" s="6">
        <v>17400</v>
      </c>
      <c r="G19" s="6">
        <v>104400</v>
      </c>
      <c r="H19" s="6">
        <v>278400</v>
      </c>
    </row>
    <row r="20" spans="2:8" ht="15" customHeight="1" x14ac:dyDescent="0.2">
      <c r="B20" s="7" t="s">
        <v>69</v>
      </c>
      <c r="C20" s="9">
        <v>14</v>
      </c>
      <c r="D20" s="9">
        <v>243600</v>
      </c>
      <c r="E20" s="9">
        <v>6</v>
      </c>
      <c r="F20" s="9">
        <v>34800</v>
      </c>
      <c r="G20" s="9">
        <v>278400</v>
      </c>
      <c r="H20" s="8" t="s">
        <v>12</v>
      </c>
    </row>
  </sheetData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 5-Year</vt:lpstr>
      <vt:lpstr>Year 1 (FY2026)</vt:lpstr>
      <vt:lpstr>Year 2 (FY2027)</vt:lpstr>
      <vt:lpstr>Year 3 (FY2028)</vt:lpstr>
      <vt:lpstr>Year 4 (FY2029)</vt:lpstr>
      <vt:lpstr>Year 5 (FY2030)</vt:lpstr>
      <vt:lpstr>Banking Projection</vt:lpstr>
      <vt:lpstr>Licensing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INDERJEET BANDWAL</cp:lastModifiedBy>
  <cp:revision>3</cp:revision>
  <dcterms:created xsi:type="dcterms:W3CDTF">2026-04-06T10:52:43Z</dcterms:created>
  <dcterms:modified xsi:type="dcterms:W3CDTF">2026-04-07T12:06:41Z</dcterms:modified>
  <dc:language>en-US</dc:language>
</cp:coreProperties>
</file>