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0DF0BF33-B766-604A-BBDD-A9921996F0E6}" xr6:coauthVersionLast="47" xr6:coauthVersionMax="47" xr10:uidLastSave="{00000000-0000-0000-0000-000000000000}"/>
  <bookViews>
    <workbookView xWindow="0" yWindow="500" windowWidth="33600" windowHeight="19100" xr2:uid="{00000000-000D-0000-FFFF-FFFF00000000}"/>
  </bookViews>
  <sheets>
    <sheet name="CAAC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58" i="1"/>
  <c r="E58" i="1" s="1"/>
  <c r="D57" i="1"/>
  <c r="E57" i="1" s="1"/>
  <c r="D56" i="1"/>
  <c r="E56" i="1" s="1"/>
  <c r="D55" i="1"/>
  <c r="E55" i="1" s="1"/>
  <c r="E54" i="1"/>
  <c r="E59" i="1" s="1"/>
  <c r="D54" i="1"/>
  <c r="D59" i="1" s="1"/>
  <c r="B49" i="1"/>
  <c r="C34" i="1"/>
  <c r="C28" i="1"/>
  <c r="E27" i="1"/>
  <c r="D27" i="1"/>
  <c r="E26" i="1"/>
  <c r="D26" i="1"/>
  <c r="E25" i="1"/>
  <c r="D25" i="1"/>
  <c r="E24" i="1"/>
  <c r="D24" i="1"/>
  <c r="E23" i="1"/>
  <c r="D23" i="1"/>
  <c r="C18" i="1"/>
  <c r="B18" i="1"/>
  <c r="E17" i="1"/>
  <c r="E16" i="1"/>
  <c r="E15" i="1"/>
  <c r="D15" i="1"/>
  <c r="E14" i="1"/>
  <c r="D14" i="1"/>
  <c r="E13" i="1"/>
  <c r="D13" i="1"/>
  <c r="B8" i="1"/>
  <c r="C7" i="1"/>
  <c r="C8" i="1" s="1"/>
  <c r="D6" i="1"/>
  <c r="C6" i="1"/>
  <c r="C5" i="1"/>
  <c r="D5" i="1" s="1"/>
  <c r="C4" i="1"/>
  <c r="D4" i="1" s="1"/>
  <c r="D2" i="1"/>
  <c r="D18" i="1" l="1"/>
  <c r="E28" i="1"/>
  <c r="D7" i="1"/>
  <c r="D8" i="1" s="1"/>
  <c r="C35" i="1"/>
  <c r="C36" i="1" s="1"/>
  <c r="C37" i="1" s="1"/>
</calcChain>
</file>

<file path=xl/sharedStrings.xml><?xml version="1.0" encoding="utf-8"?>
<sst xmlns="http://schemas.openxmlformats.org/spreadsheetml/2006/main" count="82" uniqueCount="64">
  <si>
    <t>1) TOTAL BUDGET &amp; PLATFORM ALLOCATION</t>
  </si>
  <si>
    <t>Platform</t>
  </si>
  <si>
    <t>Budget %</t>
  </si>
  <si>
    <t>Budget USD</t>
  </si>
  <si>
    <t>Budget INR (@91)</t>
  </si>
  <si>
    <t>Formula Note</t>
  </si>
  <si>
    <t>Google Search</t>
  </si>
  <si>
    <t>Budget USD in C4 * 91</t>
  </si>
  <si>
    <t>YouTube Ads</t>
  </si>
  <si>
    <t>Budget USD in C5 * 91</t>
  </si>
  <si>
    <t>Meta Ads (FB/IG)</t>
  </si>
  <si>
    <t>Budget USD in C6 * 91</t>
  </si>
  <si>
    <t>LinkedIn Ads</t>
  </si>
  <si>
    <t>Budget USD in C7 * 91</t>
  </si>
  <si>
    <t>TOTAL</t>
  </si>
  <si>
    <t>2) REGIONAL BUDGET ALLOCATION</t>
  </si>
  <si>
    <t>Region</t>
  </si>
  <si>
    <t>Allocation %</t>
  </si>
  <si>
    <t>USD Spend</t>
  </si>
  <si>
    <t>INR Spend (@91)</t>
  </si>
  <si>
    <t>Europe</t>
  </si>
  <si>
    <t>Asia &amp; MENA</t>
  </si>
  <si>
    <t>North America</t>
  </si>
  <si>
    <t>South Africa</t>
  </si>
  <si>
    <t>South America</t>
  </si>
  <si>
    <t>3) REGIONAL CPC &amp; CLICK BREAKDOWN</t>
  </si>
  <si>
    <t>CPC (USD)</t>
  </si>
  <si>
    <t>Spend (USD)</t>
  </si>
  <si>
    <t>Click Formula</t>
  </si>
  <si>
    <t>Estimated Clicks</t>
  </si>
  <si>
    <t>4) YEAR 1 CONVERSION FUNNEL</t>
  </si>
  <si>
    <t>Stage</t>
  </si>
  <si>
    <t>Conversion %</t>
  </si>
  <si>
    <t>Volume</t>
  </si>
  <si>
    <t>Formula / Note</t>
  </si>
  <si>
    <t>Clicks</t>
  </si>
  <si>
    <t>Total paid clicks</t>
  </si>
  <si>
    <t>Leads</t>
  </si>
  <si>
    <t>30%</t>
  </si>
  <si>
    <t>Form fills / contacts</t>
  </si>
  <si>
    <t>Qualified</t>
  </si>
  <si>
    <t>60%</t>
  </si>
  <si>
    <t>Filtered leads</t>
  </si>
  <si>
    <t>Calls Booked</t>
  </si>
  <si>
    <t>50%</t>
  </si>
  <si>
    <t>Booked consultations</t>
  </si>
  <si>
    <t>Interested Further</t>
  </si>
  <si>
    <t>40%</t>
  </si>
  <si>
    <t>High intent prospects</t>
  </si>
  <si>
    <t>Closed Customers</t>
  </si>
  <si>
    <t>8.5%</t>
  </si>
  <si>
    <t>Final paying clients</t>
  </si>
  <si>
    <t>5) FINAL CLIENT DISTRIBUTION</t>
  </si>
  <si>
    <t>Service Type</t>
  </si>
  <si>
    <t>Clients</t>
  </si>
  <si>
    <t>Company Formation</t>
  </si>
  <si>
    <t>Full Structure</t>
  </si>
  <si>
    <t>Office Registration</t>
  </si>
  <si>
    <t>Banking</t>
  </si>
  <si>
    <t>Corporate Services</t>
  </si>
  <si>
    <t>6) YEAR 1 REVENUE PROJECTION</t>
  </si>
  <si>
    <t>Price USD</t>
  </si>
  <si>
    <t>Revenue USD</t>
  </si>
  <si>
    <t>Revenue INR (@91)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</si>
</sst>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D9EAF7"/>
      </patternFill>
    </fill>
    <fill>
      <patternFill patternType="solid">
        <fgColor rgb="FFD9EEF8"/>
      </patternFill>
    </fill>
    <fill>
      <patternFill patternType="solid">
        <fgColor rgb="FFD35400"/>
      </patternFill>
    </fill>
    <fill>
      <patternFill patternType="solid">
        <fgColor rgb="FFFDEBD0"/>
      </patternFill>
    </fill>
    <fill>
      <patternFill patternType="solid">
        <fgColor rgb="FFFDEECC"/>
      </patternFill>
    </fill>
    <fill>
      <patternFill patternType="solid">
        <fgColor rgb="FF8E44AD"/>
      </patternFill>
    </fill>
    <fill>
      <patternFill patternType="solid">
        <fgColor rgb="FFE8DAEF"/>
      </patternFill>
    </fill>
    <fill>
      <patternFill patternType="solid">
        <fgColor rgb="FFF3E6FF"/>
      </patternFill>
    </fill>
    <fill>
      <patternFill patternType="solid">
        <fgColor rgb="FF27AE60"/>
      </patternFill>
    </fill>
    <fill>
      <patternFill patternType="solid">
        <fgColor rgb="FFD5F5E3"/>
      </patternFill>
    </fill>
    <fill>
      <patternFill patternType="solid">
        <fgColor rgb="FFD6F5E0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2471A3"/>
      </patternFill>
    </fill>
    <fill>
      <patternFill patternType="solid">
        <fgColor rgb="FFEBF5FB"/>
      </patternFill>
    </fill>
    <fill>
      <patternFill patternType="solid">
        <fgColor rgb="FFDFF1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0" fontId="0" fillId="6" borderId="1" xfId="0" applyFill="1" applyBorder="1"/>
    <xf numFmtId="0" fontId="3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 applyAlignment="1">
      <alignment horizontal="center"/>
    </xf>
    <xf numFmtId="0" fontId="0" fillId="9" borderId="1" xfId="0" applyFill="1" applyBorder="1"/>
    <xf numFmtId="0" fontId="3" fillId="10" borderId="1" xfId="0" applyFont="1" applyFill="1" applyBorder="1"/>
    <xf numFmtId="0" fontId="0" fillId="10" borderId="1" xfId="0" applyFill="1" applyBorder="1"/>
    <xf numFmtId="0" fontId="2" fillId="11" borderId="1" xfId="0" applyFont="1" applyFill="1" applyBorder="1" applyAlignment="1">
      <alignment horizontal="center"/>
    </xf>
    <xf numFmtId="0" fontId="0" fillId="12" borderId="1" xfId="0" applyFill="1" applyBorder="1"/>
    <xf numFmtId="0" fontId="0" fillId="0" borderId="1" xfId="0" applyBorder="1"/>
    <xf numFmtId="0" fontId="3" fillId="13" borderId="0" xfId="0" applyFont="1" applyFill="1"/>
    <xf numFmtId="0" fontId="0" fillId="13" borderId="0" xfId="0" applyFill="1"/>
    <xf numFmtId="0" fontId="2" fillId="14" borderId="1" xfId="0" applyFont="1" applyFill="1" applyBorder="1" applyAlignment="1">
      <alignment horizontal="center"/>
    </xf>
    <xf numFmtId="0" fontId="0" fillId="15" borderId="1" xfId="0" applyFill="1" applyBorder="1"/>
    <xf numFmtId="0" fontId="3" fillId="15" borderId="0" xfId="0" applyFont="1" applyFill="1"/>
    <xf numFmtId="0" fontId="0" fillId="15" borderId="0" xfId="0" applyFill="1"/>
    <xf numFmtId="0" fontId="2" fillId="16" borderId="1" xfId="0" applyFont="1" applyFill="1" applyBorder="1" applyAlignment="1">
      <alignment horizontal="center"/>
    </xf>
    <xf numFmtId="0" fontId="0" fillId="17" borderId="1" xfId="0" applyFill="1" applyBorder="1"/>
    <xf numFmtId="0" fontId="3" fillId="18" borderId="1" xfId="0" applyFont="1" applyFill="1" applyBorder="1"/>
    <xf numFmtId="0" fontId="0" fillId="1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2" workbookViewId="0">
      <selection activeCell="C60" sqref="C60"/>
    </sheetView>
  </sheetViews>
  <sheetFormatPr baseColWidth="10" defaultColWidth="8.83203125" defaultRowHeight="15" x14ac:dyDescent="0.2"/>
  <cols>
    <col min="1" max="1" width="39" customWidth="1"/>
    <col min="2" max="2" width="15" customWidth="1"/>
    <col min="3" max="3" width="21" customWidth="1"/>
    <col min="4" max="4" width="23" customWidth="1"/>
    <col min="5" max="5" width="37" customWidth="1"/>
    <col min="6" max="6" width="2" customWidth="1"/>
  </cols>
  <sheetData>
    <row r="1" spans="1:5" ht="19" x14ac:dyDescent="0.25">
      <c r="A1" s="1" t="s">
        <v>0</v>
      </c>
    </row>
    <row r="2" spans="1:5" x14ac:dyDescent="0.2">
      <c r="C2">
        <v>17000</v>
      </c>
      <c r="D2">
        <f>C2*91</f>
        <v>1547000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s="3" t="s">
        <v>6</v>
      </c>
      <c r="B4" s="3">
        <v>0.35</v>
      </c>
      <c r="C4" s="3">
        <f>C$2*0.35</f>
        <v>5950</v>
      </c>
      <c r="D4" s="3">
        <f>C4*91</f>
        <v>541450</v>
      </c>
      <c r="E4" s="3" t="s">
        <v>7</v>
      </c>
    </row>
    <row r="5" spans="1:5" x14ac:dyDescent="0.2">
      <c r="A5" s="3" t="s">
        <v>8</v>
      </c>
      <c r="B5" s="3">
        <v>0.25</v>
      </c>
      <c r="C5" s="3">
        <f>C$2*0.25</f>
        <v>4250</v>
      </c>
      <c r="D5" s="3">
        <f>C5*91</f>
        <v>386750</v>
      </c>
      <c r="E5" s="3" t="s">
        <v>9</v>
      </c>
    </row>
    <row r="6" spans="1:5" x14ac:dyDescent="0.2">
      <c r="A6" s="3" t="s">
        <v>10</v>
      </c>
      <c r="B6" s="3">
        <v>0.25</v>
      </c>
      <c r="C6" s="3">
        <f>C$2*0.25</f>
        <v>4250</v>
      </c>
      <c r="D6" s="3">
        <f>C6*91</f>
        <v>386750</v>
      </c>
      <c r="E6" s="3" t="s">
        <v>11</v>
      </c>
    </row>
    <row r="7" spans="1:5" x14ac:dyDescent="0.2">
      <c r="A7" s="3" t="s">
        <v>12</v>
      </c>
      <c r="B7" s="3">
        <v>0.15</v>
      </c>
      <c r="C7" s="3">
        <f>C$2*0.15</f>
        <v>2550</v>
      </c>
      <c r="D7" s="3">
        <f>C7*91</f>
        <v>232050</v>
      </c>
      <c r="E7" s="3" t="s">
        <v>13</v>
      </c>
    </row>
    <row r="8" spans="1:5" x14ac:dyDescent="0.2">
      <c r="A8" s="4" t="s">
        <v>14</v>
      </c>
      <c r="B8" s="5">
        <f>SUM(B4:B7)</f>
        <v>1</v>
      </c>
      <c r="C8" s="5">
        <f>SUM(C4:C7)</f>
        <v>17000</v>
      </c>
      <c r="D8" s="5">
        <f>SUM(D4:D7)</f>
        <v>1547000</v>
      </c>
    </row>
    <row r="10" spans="1:5" ht="19" x14ac:dyDescent="0.25">
      <c r="A10" s="1" t="s">
        <v>15</v>
      </c>
    </row>
    <row r="12" spans="1:5" x14ac:dyDescent="0.2">
      <c r="A12" s="6" t="s">
        <v>16</v>
      </c>
      <c r="B12" s="6" t="s">
        <v>17</v>
      </c>
      <c r="C12" s="6" t="s">
        <v>18</v>
      </c>
      <c r="D12" s="6" t="s">
        <v>19</v>
      </c>
      <c r="E12" s="6" t="s">
        <v>5</v>
      </c>
    </row>
    <row r="13" spans="1:5" x14ac:dyDescent="0.2">
      <c r="A13" s="7" t="s">
        <v>20</v>
      </c>
      <c r="B13" s="7">
        <v>0.35</v>
      </c>
      <c r="C13" s="7">
        <v>5950</v>
      </c>
      <c r="D13" s="7">
        <f>C13*91</f>
        <v>541450</v>
      </c>
      <c r="E13" s="7">
        <f>C13*91</f>
        <v>541450</v>
      </c>
    </row>
    <row r="14" spans="1:5" x14ac:dyDescent="0.2">
      <c r="A14" s="7" t="s">
        <v>21</v>
      </c>
      <c r="B14" s="7">
        <v>0.3</v>
      </c>
      <c r="C14" s="7">
        <v>5100</v>
      </c>
      <c r="D14" s="7">
        <f>C14*91</f>
        <v>464100</v>
      </c>
      <c r="E14" s="7">
        <f>C14*91</f>
        <v>464100</v>
      </c>
    </row>
    <row r="15" spans="1:5" x14ac:dyDescent="0.2">
      <c r="A15" s="7" t="s">
        <v>22</v>
      </c>
      <c r="B15" s="7">
        <v>0.25</v>
      </c>
      <c r="C15" s="7">
        <v>4250</v>
      </c>
      <c r="D15" s="7">
        <f>C15*91</f>
        <v>386750</v>
      </c>
      <c r="E15" s="7">
        <f>C15*91</f>
        <v>386750</v>
      </c>
    </row>
    <row r="16" spans="1:5" x14ac:dyDescent="0.2">
      <c r="A16" s="7" t="s">
        <v>23</v>
      </c>
      <c r="B16" s="7">
        <v>0.05</v>
      </c>
      <c r="C16" s="7">
        <v>850</v>
      </c>
      <c r="D16" s="7">
        <f>C16*91</f>
        <v>77350</v>
      </c>
      <c r="E16" s="7">
        <f>C16*91</f>
        <v>77350</v>
      </c>
    </row>
    <row r="17" spans="1:5" x14ac:dyDescent="0.2">
      <c r="A17" s="7" t="s">
        <v>24</v>
      </c>
      <c r="B17" s="7">
        <v>0.05</v>
      </c>
      <c r="C17" s="7">
        <v>850</v>
      </c>
      <c r="D17" s="7">
        <f>C17*91</f>
        <v>77350</v>
      </c>
      <c r="E17" s="7">
        <f>C17*91</f>
        <v>77350</v>
      </c>
    </row>
    <row r="18" spans="1:5" x14ac:dyDescent="0.2">
      <c r="A18" s="8" t="s">
        <v>14</v>
      </c>
      <c r="B18" s="9">
        <f>SUM(B13:B17)</f>
        <v>1</v>
      </c>
      <c r="C18" s="9">
        <f>SUM(C13:C17)</f>
        <v>17000</v>
      </c>
      <c r="D18" s="9">
        <f>SUM(D13:D17)</f>
        <v>1547000</v>
      </c>
    </row>
    <row r="20" spans="1:5" ht="19" x14ac:dyDescent="0.25">
      <c r="A20" s="1" t="s">
        <v>25</v>
      </c>
    </row>
    <row r="22" spans="1:5" x14ac:dyDescent="0.2">
      <c r="A22" s="10" t="s">
        <v>16</v>
      </c>
      <c r="B22" s="10" t="s">
        <v>26</v>
      </c>
      <c r="C22" s="10" t="s">
        <v>27</v>
      </c>
      <c r="D22" s="10" t="s">
        <v>28</v>
      </c>
      <c r="E22" s="10" t="s">
        <v>29</v>
      </c>
    </row>
    <row r="23" spans="1:5" x14ac:dyDescent="0.2">
      <c r="A23" s="11" t="s">
        <v>20</v>
      </c>
      <c r="B23" s="11">
        <v>3.5</v>
      </c>
      <c r="C23" s="11">
        <v>5950</v>
      </c>
      <c r="D23" s="11">
        <f>C23/B23</f>
        <v>1700</v>
      </c>
      <c r="E23" s="11">
        <f>ROUND(C23/B23,0)</f>
        <v>1700</v>
      </c>
    </row>
    <row r="24" spans="1:5" x14ac:dyDescent="0.2">
      <c r="A24" s="11" t="s">
        <v>21</v>
      </c>
      <c r="B24" s="11">
        <v>2.5</v>
      </c>
      <c r="C24" s="11">
        <v>5100</v>
      </c>
      <c r="D24" s="11">
        <f>C24/B24</f>
        <v>2040</v>
      </c>
      <c r="E24" s="11">
        <f>ROUND(C24/B24,0)</f>
        <v>2040</v>
      </c>
    </row>
    <row r="25" spans="1:5" x14ac:dyDescent="0.2">
      <c r="A25" s="11" t="s">
        <v>22</v>
      </c>
      <c r="B25" s="11">
        <v>5</v>
      </c>
      <c r="C25" s="11">
        <v>4250</v>
      </c>
      <c r="D25" s="11">
        <f>C25/B25</f>
        <v>850</v>
      </c>
      <c r="E25" s="11">
        <f>ROUND(C25/B25,0)</f>
        <v>850</v>
      </c>
    </row>
    <row r="26" spans="1:5" x14ac:dyDescent="0.2">
      <c r="A26" s="11" t="s">
        <v>23</v>
      </c>
      <c r="B26" s="11">
        <v>1.5</v>
      </c>
      <c r="C26" s="11">
        <v>850</v>
      </c>
      <c r="D26" s="11">
        <f>C26/B26</f>
        <v>566.66666666666663</v>
      </c>
      <c r="E26" s="11">
        <f>ROUND(C26/B26,0)</f>
        <v>567</v>
      </c>
    </row>
    <row r="27" spans="1:5" x14ac:dyDescent="0.2">
      <c r="A27" s="11" t="s">
        <v>24</v>
      </c>
      <c r="B27" s="11">
        <v>2.5</v>
      </c>
      <c r="C27" s="11">
        <v>850</v>
      </c>
      <c r="D27" s="11">
        <f>C27/B27</f>
        <v>340</v>
      </c>
      <c r="E27" s="11">
        <f>ROUND(C27/B27,0)</f>
        <v>340</v>
      </c>
    </row>
    <row r="28" spans="1:5" x14ac:dyDescent="0.2">
      <c r="A28" s="12" t="s">
        <v>14</v>
      </c>
      <c r="B28" s="13"/>
      <c r="C28" s="13">
        <f>SUM(C23:C27)</f>
        <v>17000</v>
      </c>
      <c r="D28" s="13"/>
      <c r="E28" s="13">
        <f>ROUND(SUM(C23:C27)/SUM(E23:E27),2)</f>
        <v>3.09</v>
      </c>
    </row>
    <row r="30" spans="1:5" ht="19" x14ac:dyDescent="0.25">
      <c r="A30" s="1" t="s">
        <v>30</v>
      </c>
    </row>
    <row r="32" spans="1:5" x14ac:dyDescent="0.2">
      <c r="A32" s="14" t="s">
        <v>31</v>
      </c>
      <c r="B32" s="14" t="s">
        <v>32</v>
      </c>
      <c r="C32" s="14" t="s">
        <v>33</v>
      </c>
      <c r="D32" s="14" t="s">
        <v>34</v>
      </c>
    </row>
    <row r="33" spans="1:4" x14ac:dyDescent="0.2">
      <c r="A33" s="15" t="s">
        <v>35</v>
      </c>
      <c r="B33" s="16"/>
      <c r="C33" s="15">
        <v>5497</v>
      </c>
      <c r="D33" s="15" t="s">
        <v>36</v>
      </c>
    </row>
    <row r="34" spans="1:4" x14ac:dyDescent="0.2">
      <c r="A34" s="15" t="s">
        <v>37</v>
      </c>
      <c r="B34" s="15" t="s">
        <v>38</v>
      </c>
      <c r="C34" s="15">
        <f>ROUND(5497*0.3,0)</f>
        <v>1649</v>
      </c>
      <c r="D34" s="15" t="s">
        <v>39</v>
      </c>
    </row>
    <row r="35" spans="1:4" x14ac:dyDescent="0.2">
      <c r="A35" s="15" t="s">
        <v>40</v>
      </c>
      <c r="B35" s="15" t="s">
        <v>41</v>
      </c>
      <c r="C35" s="15">
        <f>ROUND(C34*0.6,0)</f>
        <v>989</v>
      </c>
      <c r="D35" s="15" t="s">
        <v>42</v>
      </c>
    </row>
    <row r="36" spans="1:4" x14ac:dyDescent="0.2">
      <c r="A36" s="15" t="s">
        <v>43</v>
      </c>
      <c r="B36" s="15" t="s">
        <v>44</v>
      </c>
      <c r="C36" s="15">
        <f>ROUND(C35*0.5,0)</f>
        <v>495</v>
      </c>
      <c r="D36" s="15" t="s">
        <v>45</v>
      </c>
    </row>
    <row r="37" spans="1:4" x14ac:dyDescent="0.2">
      <c r="A37" s="15" t="s">
        <v>46</v>
      </c>
      <c r="B37" s="15" t="s">
        <v>47</v>
      </c>
      <c r="C37" s="15">
        <f>ROUND(C36*0.4,0)</f>
        <v>198</v>
      </c>
      <c r="D37" s="15" t="s">
        <v>48</v>
      </c>
    </row>
    <row r="38" spans="1:4" x14ac:dyDescent="0.2">
      <c r="A38" s="15" t="s">
        <v>49</v>
      </c>
      <c r="B38" s="15" t="s">
        <v>50</v>
      </c>
      <c r="C38" s="15">
        <v>17</v>
      </c>
      <c r="D38" s="15" t="s">
        <v>51</v>
      </c>
    </row>
    <row r="39" spans="1:4" x14ac:dyDescent="0.2">
      <c r="A39" s="17"/>
      <c r="C39" s="18"/>
    </row>
    <row r="41" spans="1:4" ht="19" x14ac:dyDescent="0.25">
      <c r="A41" s="1" t="s">
        <v>52</v>
      </c>
    </row>
    <row r="43" spans="1:4" x14ac:dyDescent="0.2">
      <c r="A43" s="19" t="s">
        <v>53</v>
      </c>
      <c r="B43" s="19" t="s">
        <v>54</v>
      </c>
    </row>
    <row r="44" spans="1:4" x14ac:dyDescent="0.2">
      <c r="A44" s="20" t="s">
        <v>55</v>
      </c>
      <c r="B44" s="20">
        <v>8</v>
      </c>
    </row>
    <row r="45" spans="1:4" x14ac:dyDescent="0.2">
      <c r="A45" s="20" t="s">
        <v>56</v>
      </c>
      <c r="B45" s="20">
        <v>2</v>
      </c>
    </row>
    <row r="46" spans="1:4" x14ac:dyDescent="0.2">
      <c r="A46" s="20" t="s">
        <v>57</v>
      </c>
      <c r="B46" s="20">
        <v>1</v>
      </c>
    </row>
    <row r="47" spans="1:4" x14ac:dyDescent="0.2">
      <c r="A47" s="20" t="s">
        <v>58</v>
      </c>
      <c r="B47" s="20">
        <v>2</v>
      </c>
    </row>
    <row r="48" spans="1:4" x14ac:dyDescent="0.2">
      <c r="A48" s="20" t="s">
        <v>59</v>
      </c>
      <c r="B48" s="20">
        <v>4</v>
      </c>
    </row>
    <row r="49" spans="1:5" x14ac:dyDescent="0.2">
      <c r="A49" s="21" t="s">
        <v>14</v>
      </c>
      <c r="B49" s="22">
        <f>SUM(B44:B48)</f>
        <v>17</v>
      </c>
    </row>
    <row r="51" spans="1:5" ht="19" x14ac:dyDescent="0.25">
      <c r="A51" s="1" t="s">
        <v>60</v>
      </c>
    </row>
    <row r="53" spans="1:5" x14ac:dyDescent="0.2">
      <c r="A53" s="23" t="s">
        <v>53</v>
      </c>
      <c r="B53" s="23" t="s">
        <v>54</v>
      </c>
      <c r="C53" s="23" t="s">
        <v>61</v>
      </c>
      <c r="D53" s="23" t="s">
        <v>62</v>
      </c>
      <c r="E53" s="23" t="s">
        <v>63</v>
      </c>
    </row>
    <row r="54" spans="1:5" x14ac:dyDescent="0.2">
      <c r="A54" s="24" t="s">
        <v>55</v>
      </c>
      <c r="B54" s="24">
        <v>8</v>
      </c>
      <c r="C54" s="24">
        <v>2500</v>
      </c>
      <c r="D54" s="24">
        <f>B54*C54</f>
        <v>20000</v>
      </c>
      <c r="E54" s="24">
        <f>D54*91</f>
        <v>1820000</v>
      </c>
    </row>
    <row r="55" spans="1:5" x14ac:dyDescent="0.2">
      <c r="A55" s="24" t="s">
        <v>56</v>
      </c>
      <c r="B55" s="24">
        <v>2</v>
      </c>
      <c r="C55" s="24">
        <v>29700</v>
      </c>
      <c r="D55" s="24">
        <f>B55*C55</f>
        <v>59400</v>
      </c>
      <c r="E55" s="24">
        <f>D55*91</f>
        <v>5405400</v>
      </c>
    </row>
    <row r="56" spans="1:5" x14ac:dyDescent="0.2">
      <c r="A56" s="24" t="s">
        <v>57</v>
      </c>
      <c r="B56" s="24">
        <v>1</v>
      </c>
      <c r="C56" s="24">
        <v>1500</v>
      </c>
      <c r="D56" s="24">
        <f>B56*C56</f>
        <v>1500</v>
      </c>
      <c r="E56" s="24">
        <f>D56*91</f>
        <v>136500</v>
      </c>
    </row>
    <row r="57" spans="1:5" x14ac:dyDescent="0.2">
      <c r="A57" s="24" t="s">
        <v>58</v>
      </c>
      <c r="B57" s="24">
        <v>2</v>
      </c>
      <c r="C57" s="24">
        <v>6500</v>
      </c>
      <c r="D57" s="24">
        <f>B57*C57</f>
        <v>13000</v>
      </c>
      <c r="E57" s="24">
        <f>D57*91</f>
        <v>1183000</v>
      </c>
    </row>
    <row r="58" spans="1:5" x14ac:dyDescent="0.2">
      <c r="A58" s="24" t="s">
        <v>59</v>
      </c>
      <c r="B58" s="24">
        <v>4</v>
      </c>
      <c r="C58" s="24">
        <v>3500</v>
      </c>
      <c r="D58" s="24">
        <f>B58*C58</f>
        <v>14000</v>
      </c>
      <c r="E58" s="24">
        <f>D58*91</f>
        <v>1274000</v>
      </c>
    </row>
    <row r="59" spans="1:5" x14ac:dyDescent="0.2">
      <c r="A59" s="25" t="s">
        <v>14</v>
      </c>
      <c r="D59" s="26">
        <f>SUM(D54:D58)</f>
        <v>107900</v>
      </c>
      <c r="E59" s="26">
        <f>SUM(E54:E58)</f>
        <v>9818900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CAAC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Inderjeet Bandwal</cp:lastModifiedBy>
  <dcterms:created xsi:type="dcterms:W3CDTF">2025-11-27T12:14:24Z</dcterms:created>
  <dcterms:modified xsi:type="dcterms:W3CDTF">2025-11-27T12:25:27Z</dcterms:modified>
</cp:coreProperties>
</file>