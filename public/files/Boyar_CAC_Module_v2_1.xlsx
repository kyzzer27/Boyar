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BC57E4DF-2C24-0245-9364-EE2F2A6CEF6E}" xr6:coauthVersionLast="47" xr6:coauthVersionMax="47" xr10:uidLastSave="{00000000-0000-0000-0000-000000000000}"/>
  <bookViews>
    <workbookView xWindow="0" yWindow="0" windowWidth="33600" windowHeight="21000" tabRatio="500" xr2:uid="{00000000-000D-0000-FFFF-FFFF00000000}"/>
  </bookViews>
  <sheets>
    <sheet name="CAC Overview" sheetId="1" r:id="rId1"/>
    <sheet name="Marketing CAC" sheetId="2" r:id="rId2"/>
    <sheet name="True CAC Hub" sheetId="3" r:id="rId3"/>
    <sheet name="Group-wise CAC" sheetId="4" r:id="rId4"/>
    <sheet name="Revenue-wise CAC" sheetId="5" r:id="rId5"/>
    <sheet name="Funnel Analysi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6" l="1"/>
  <c r="C20" i="6"/>
  <c r="C19" i="6"/>
  <c r="C18" i="6"/>
  <c r="C17" i="6"/>
  <c r="C16" i="6"/>
  <c r="E12" i="6"/>
  <c r="E11" i="6"/>
  <c r="E10" i="6"/>
  <c r="E9" i="6"/>
  <c r="E8" i="6"/>
  <c r="E7" i="6"/>
  <c r="D23" i="5"/>
  <c r="C23" i="5"/>
  <c r="F22" i="5"/>
  <c r="H22" i="5" s="1"/>
  <c r="G21" i="5"/>
  <c r="F21" i="5"/>
  <c r="H21" i="5" s="1"/>
  <c r="F20" i="5"/>
  <c r="H20" i="5" s="1"/>
  <c r="F19" i="5"/>
  <c r="H19" i="5" s="1"/>
  <c r="F18" i="5"/>
  <c r="H18" i="5" s="1"/>
  <c r="H17" i="5"/>
  <c r="G17" i="5"/>
  <c r="F17" i="5"/>
  <c r="D41" i="4"/>
  <c r="C41" i="4"/>
  <c r="F40" i="4"/>
  <c r="G40" i="4" s="1"/>
  <c r="F39" i="4"/>
  <c r="G39" i="4" s="1"/>
  <c r="F38" i="4"/>
  <c r="H38" i="4" s="1"/>
  <c r="F37" i="4"/>
  <c r="H37" i="4" s="1"/>
  <c r="F36" i="4"/>
  <c r="G36" i="4" s="1"/>
  <c r="F35" i="4"/>
  <c r="F41" i="4" s="1"/>
  <c r="H41" i="4" s="1"/>
  <c r="F31" i="4"/>
  <c r="E30" i="4"/>
  <c r="G30" i="4" s="1"/>
  <c r="E29" i="4"/>
  <c r="G29" i="4" s="1"/>
  <c r="E28" i="4"/>
  <c r="G28" i="4" s="1"/>
  <c r="E27" i="4"/>
  <c r="G27" i="4" s="1"/>
  <c r="E26" i="4"/>
  <c r="G26" i="4" s="1"/>
  <c r="E25" i="4"/>
  <c r="G25" i="4" s="1"/>
  <c r="C14" i="4"/>
  <c r="E13" i="4"/>
  <c r="F13" i="4" s="1"/>
  <c r="E12" i="4"/>
  <c r="F12" i="4" s="1"/>
  <c r="E11" i="4"/>
  <c r="F11" i="4" s="1"/>
  <c r="E10" i="4"/>
  <c r="F10" i="4" s="1"/>
  <c r="E9" i="4"/>
  <c r="F9" i="4" s="1"/>
  <c r="E8" i="4"/>
  <c r="F8" i="4" s="1"/>
  <c r="E7" i="4"/>
  <c r="E22" i="3"/>
  <c r="E21" i="3"/>
  <c r="E20" i="3"/>
  <c r="E19" i="3"/>
  <c r="E18" i="3"/>
  <c r="C41" i="2"/>
  <c r="E40" i="2"/>
  <c r="D40" i="2"/>
  <c r="F40" i="2" s="1"/>
  <c r="E39" i="2"/>
  <c r="D39" i="2"/>
  <c r="F39" i="2" s="1"/>
  <c r="F38" i="2"/>
  <c r="E38" i="2"/>
  <c r="D38" i="2"/>
  <c r="E37" i="2"/>
  <c r="E41" i="2" s="1"/>
  <c r="D37" i="2"/>
  <c r="F37" i="2" s="1"/>
  <c r="G32" i="2"/>
  <c r="F32" i="2"/>
  <c r="C32" i="2"/>
  <c r="E31" i="2"/>
  <c r="H31" i="2" s="1"/>
  <c r="E30" i="2"/>
  <c r="H30" i="2" s="1"/>
  <c r="E29" i="2"/>
  <c r="H29" i="2" s="1"/>
  <c r="E28" i="2"/>
  <c r="H28" i="2" s="1"/>
  <c r="E27" i="2"/>
  <c r="H27" i="2" s="1"/>
  <c r="E26" i="2"/>
  <c r="E32" i="2" s="1"/>
  <c r="E21" i="2"/>
  <c r="E20" i="2"/>
  <c r="E19" i="2"/>
  <c r="E18" i="2"/>
  <c r="E17" i="2"/>
  <c r="E16" i="2"/>
  <c r="D12" i="2"/>
  <c r="C12" i="2"/>
  <c r="G11" i="2"/>
  <c r="E11" i="2"/>
  <c r="G10" i="2"/>
  <c r="E10" i="2"/>
  <c r="G9" i="2"/>
  <c r="E9" i="2"/>
  <c r="G8" i="2"/>
  <c r="E8" i="2"/>
  <c r="G7" i="2"/>
  <c r="G12" i="2" s="1"/>
  <c r="E7" i="2"/>
  <c r="E12" i="2" s="1"/>
  <c r="E14" i="4" l="1"/>
  <c r="F41" i="2"/>
  <c r="G31" i="4"/>
  <c r="G35" i="4"/>
  <c r="H35" i="4"/>
  <c r="H39" i="4"/>
  <c r="H26" i="2"/>
  <c r="H32" i="2" s="1"/>
  <c r="H33" i="2" s="1"/>
  <c r="G18" i="5"/>
  <c r="G23" i="5" s="1"/>
  <c r="G22" i="5"/>
  <c r="H36" i="4"/>
  <c r="H40" i="4"/>
  <c r="F7" i="4"/>
  <c r="F14" i="4" s="1"/>
  <c r="G19" i="5"/>
  <c r="G37" i="4"/>
  <c r="F23" i="5"/>
  <c r="F24" i="5" s="1"/>
  <c r="D41" i="2"/>
  <c r="G20" i="5"/>
  <c r="G38" i="4"/>
  <c r="G41" i="4" l="1"/>
</calcChain>
</file>

<file path=xl/sharedStrings.xml><?xml version="1.0" encoding="utf-8"?>
<sst xmlns="http://schemas.openxmlformats.org/spreadsheetml/2006/main" count="409" uniqueCount="258">
  <si>
    <t>BOYAR PARTNERS — CAC Module Overview</t>
  </si>
  <si>
    <t>All amounts in USD  |  INR Rate: ₹91.0  |  Year 1 (2025)  |  16 clients acquired</t>
  </si>
  <si>
    <t>Module</t>
  </si>
  <si>
    <t>Key Figure (USD)</t>
  </si>
  <si>
    <t>INR Equivalent</t>
  </si>
  <si>
    <t>Clients / Units</t>
  </si>
  <si>
    <t>Core Metric</t>
  </si>
  <si>
    <t>Source Sheet</t>
  </si>
  <si>
    <t>Marketing CAC Module</t>
  </si>
  <si>
    <t>ROAS: 6.52×</t>
  </si>
  <si>
    <t>Marketing CAC</t>
  </si>
  <si>
    <t>True CAC — ABC Method</t>
  </si>
  <si>
    <t>GP:CAC = 1.9×</t>
  </si>
  <si>
    <t>True CAC Hub</t>
  </si>
  <si>
    <t>Group-wise CAC — Channel</t>
  </si>
  <si>
    <t>76.1% of cost pool</t>
  </si>
  <si>
    <t>Group-wise CAC</t>
  </si>
  <si>
    <t>Group-wise CAC — Overhead</t>
  </si>
  <si>
    <t>23.9% of cost pool</t>
  </si>
  <si>
    <t>Net Profit after CAC</t>
  </si>
  <si>
    <t>24.2% net margin</t>
  </si>
  <si>
    <t>Revenue-wise CAC</t>
  </si>
  <si>
    <t>Funnel — Paid Clicks</t>
  </si>
  <si>
    <t>—</t>
  </si>
  <si>
    <t>Top of funnel</t>
  </si>
  <si>
    <t>Funnel Analysis</t>
  </si>
  <si>
    <t>Funnel — Closed Clients</t>
  </si>
  <si>
    <t>0.29% conversion</t>
  </si>
  <si>
    <t>Key Metrics</t>
  </si>
  <si>
    <t>Total Ad Spend (USD)</t>
  </si>
  <si>
    <t>Total Ad Spend (INR)</t>
  </si>
  <si>
    <t>Marketing CAC per Client</t>
  </si>
  <si>
    <t>Blended CPC (USD)</t>
  </si>
  <si>
    <t>True CAC Pool (USD)</t>
  </si>
  <si>
    <t>True Avg CAC / Client</t>
  </si>
  <si>
    <t>Portfolio GP:CAC</t>
  </si>
  <si>
    <t>1.9×</t>
  </si>
  <si>
    <t>Net Profit after CAC (USD)</t>
  </si>
  <si>
    <t>Total Revenue (USD)</t>
  </si>
  <si>
    <t>Total Revenue (INR)</t>
  </si>
  <si>
    <t>ROAS</t>
  </si>
  <si>
    <t>6.52×</t>
  </si>
  <si>
    <t>BOYAR PARTNERS — Marketing CAC (Year 1, FY2026)</t>
  </si>
  <si>
    <t>All amounts in USD  |  INR Rate: ₹91.0  |  Ad Spend: $17,000  |  Clients: 16  |  ROAS: 6.52×</t>
  </si>
  <si>
    <t>Regional Ad Spend Allocation</t>
  </si>
  <si>
    <t>Region</t>
  </si>
  <si>
    <t>Allocation %</t>
  </si>
  <si>
    <t>Spend (USD)</t>
  </si>
  <si>
    <t>Spend (INR)</t>
  </si>
  <si>
    <t>CPC (USD)</t>
  </si>
  <si>
    <t>Clicks</t>
  </si>
  <si>
    <t>Europe</t>
  </si>
  <si>
    <t>Asia &amp; MENA</t>
  </si>
  <si>
    <t>North America</t>
  </si>
  <si>
    <t>South Africa</t>
  </si>
  <si>
    <t>South America</t>
  </si>
  <si>
    <t>TOTAL</t>
  </si>
  <si>
    <t>Conversion Funnel</t>
  </si>
  <si>
    <t>Funnel Stage</t>
  </si>
  <si>
    <t>Conv. Rate</t>
  </si>
  <si>
    <t>Volume</t>
  </si>
  <si>
    <t>Running %</t>
  </si>
  <si>
    <t>Description</t>
  </si>
  <si>
    <t>Paid Clicks</t>
  </si>
  <si>
    <t>Targeted traffic — Google, Meta, YouTube, LinkedIn</t>
  </si>
  <si>
    <t>Leads &amp; Inquiries</t>
  </si>
  <si>
    <t>Form fills, WhatsApp, and email inquiries</t>
  </si>
  <si>
    <t>Qualified Leads</t>
  </si>
  <si>
    <t>Meets Boyar investment and compliance criteria</t>
  </si>
  <si>
    <t>Calls Booked</t>
  </si>
  <si>
    <t>Consultations scheduled with strategy leads</t>
  </si>
  <si>
    <t>High-Intent Prospects</t>
  </si>
  <si>
    <t>Advanced diligence and proposal reviews</t>
  </si>
  <si>
    <t>Closed Clients</t>
  </si>
  <si>
    <t>Signed mandates in Year 1</t>
  </si>
  <si>
    <t>Year-1 Revenue by Service Line</t>
  </si>
  <si>
    <t>Service Type</t>
  </si>
  <si>
    <t>Clients</t>
  </si>
  <si>
    <t>Unit (USD)</t>
  </si>
  <si>
    <t>New Revenue</t>
  </si>
  <si>
    <t>Renewals</t>
  </si>
  <si>
    <t>Renewal Rev</t>
  </si>
  <si>
    <t>Total (USD)</t>
  </si>
  <si>
    <t>Company Formation</t>
  </si>
  <si>
    <t>Standalone Trust</t>
  </si>
  <si>
    <t>Full Structure</t>
  </si>
  <si>
    <t>Corporate Services</t>
  </si>
  <si>
    <t>Office Registration</t>
  </si>
  <si>
    <t>Banking</t>
  </si>
  <si>
    <t>TOTAL (USD)</t>
  </si>
  <si>
    <t>TOTAL (INR)</t>
  </si>
  <si>
    <t>Marketing-Only CAC Stack</t>
  </si>
  <si>
    <t>Component</t>
  </si>
  <si>
    <t>Monthly (USD)</t>
  </si>
  <si>
    <t>Annual (USD)</t>
  </si>
  <si>
    <t>Monthly (INR)</t>
  </si>
  <si>
    <t>Annual (INR)</t>
  </si>
  <si>
    <t>Notes</t>
  </si>
  <si>
    <t>Ad Spend</t>
  </si>
  <si>
    <t>Google · Meta · YouTube · LinkedIn</t>
  </si>
  <si>
    <t>Software Stack</t>
  </si>
  <si>
    <t>Monthly tools &amp; subscriptions</t>
  </si>
  <si>
    <t>YouTube &amp; Content</t>
  </si>
  <si>
    <t>Content production</t>
  </si>
  <si>
    <t>Editor &amp; Marketing Talent</t>
  </si>
  <si>
    <t>Part-time marketing talent</t>
  </si>
  <si>
    <t>TOTAL ANNUAL</t>
  </si>
  <si>
    <t>Total Clicks</t>
  </si>
  <si>
    <t>Marketing CAC / Client (USD)</t>
  </si>
  <si>
    <t>Marketing CAC / Client (INR @ ₹91.0)</t>
  </si>
  <si>
    <t>ROAS (Revenue ÷ Ad Spend)</t>
  </si>
  <si>
    <t>BOYAR PARTNERS — True CAC (Activity-Based Costing)</t>
  </si>
  <si>
    <t>All amounts in USD  |  INR Rate: ₹91.0  |  Total CAC Pool: $31,200  |  16 clients  |  GP:CAC = 1.9×</t>
  </si>
  <si>
    <t>Portfolio Summary</t>
  </si>
  <si>
    <t>Metric</t>
  </si>
  <si>
    <t>USD</t>
  </si>
  <si>
    <t>INR</t>
  </si>
  <si>
    <t>Total CAC Pool</t>
  </si>
  <si>
    <t>Fully-loaded, ABC-allocated</t>
  </si>
  <si>
    <t>True Average CAC</t>
  </si>
  <si>
    <t>Total CAC divided by 16 clients</t>
  </si>
  <si>
    <t>1.9× — $1 → $1.90 gross profit</t>
  </si>
  <si>
    <t>Gross Profit − Total CAC</t>
  </si>
  <si>
    <t>Total Gross Profit</t>
  </si>
  <si>
    <t>All 16 clients combined</t>
  </si>
  <si>
    <t>Supplier / COGS</t>
  </si>
  <si>
    <t>Direct service delivery costs</t>
  </si>
  <si>
    <t>Total Revenue</t>
  </si>
  <si>
    <t>Year 1 signed mandates</t>
  </si>
  <si>
    <t>Revenue → Gross Profit → Net Profit Bridge</t>
  </si>
  <si>
    <t>Item</t>
  </si>
  <si>
    <t>Amount (USD)</t>
  </si>
  <si>
    <t>% of Revenue</t>
  </si>
  <si>
    <t>Amount (INR)</t>
  </si>
  <si>
    <t>Base</t>
  </si>
  <si>
    <t>Less: Supplier Costs</t>
  </si>
  <si>
    <t>Direct delivery costs</t>
  </si>
  <si>
    <t>Gross Profit</t>
  </si>
  <si>
    <t>52.3% blended gross margin</t>
  </si>
  <si>
    <t>Less: True CAC Pool</t>
  </si>
  <si>
    <t>Activity-based full CAC</t>
  </si>
  <si>
    <t>BOYAR PARTNERS — Group-wise CAC (Activity-Based Allocation)</t>
  </si>
  <si>
    <t>All amounts in USD  |  INR Rate: ₹91.0  |  Total CAC Pool: $31,200  |  Channel: $23,736  |  Overhead: $7,464</t>
  </si>
  <si>
    <t>Cost Pool Construction</t>
  </si>
  <si>
    <t>Cost Component</t>
  </si>
  <si>
    <t>Monthly to CAC</t>
  </si>
  <si>
    <t>Annual to CAC</t>
  </si>
  <si>
    <t>Marketing &amp; Ads</t>
  </si>
  <si>
    <t>Paid media</t>
  </si>
  <si>
    <t>Content Production</t>
  </si>
  <si>
    <t>Content &amp; video</t>
  </si>
  <si>
    <t>Technology &amp; Software</t>
  </si>
  <si>
    <t>50% allocated to CAC</t>
  </si>
  <si>
    <t>Human Resources</t>
  </si>
  <si>
    <t>60% allocated to CAC</t>
  </si>
  <si>
    <t>Infrastructure (Office)</t>
  </si>
  <si>
    <t>40% allocated to CAC</t>
  </si>
  <si>
    <t>Device Rental</t>
  </si>
  <si>
    <t>Contingency</t>
  </si>
  <si>
    <t>Not allocated to CAC</t>
  </si>
  <si>
    <t>Allocation Metrics</t>
  </si>
  <si>
    <t>Total CAC Pool (USD)</t>
  </si>
  <si>
    <t>Channel Costs (USD)</t>
  </si>
  <si>
    <t>Overhead Costs (USD)</t>
  </si>
  <si>
    <t>Effective CPL (USD)</t>
  </si>
  <si>
    <t>Cost per Effort-Day (USD)</t>
  </si>
  <si>
    <t>True CAC per Service</t>
  </si>
  <si>
    <t>Service</t>
  </si>
  <si>
    <t>Channel CAC</t>
  </si>
  <si>
    <t>Overhead CAC</t>
  </si>
  <si>
    <t>True CAC</t>
  </si>
  <si>
    <t>Total Absorbed</t>
  </si>
  <si>
    <t>Return on CAC</t>
  </si>
  <si>
    <t>Unit Economics — CAC vs Gross Profit</t>
  </si>
  <si>
    <t>Revenue</t>
  </si>
  <si>
    <t>GM %</t>
  </si>
  <si>
    <t>GP after CAC</t>
  </si>
  <si>
    <t>TOTAL / BLENDED</t>
  </si>
  <si>
    <t>Conversion Rates &amp; Sales Cycle Assumptions</t>
  </si>
  <si>
    <t>Lead-to-Close</t>
  </si>
  <si>
    <t>Leads Required</t>
  </si>
  <si>
    <t>Cycle Days</t>
  </si>
  <si>
    <t>Complexity</t>
  </si>
  <si>
    <t>Templated, clear need, minimal trust threshold</t>
  </si>
  <si>
    <t>Fiduciary expertise, HNI decision-maker</t>
  </si>
  <si>
    <t>Multi-entity coordination, founder-led sales</t>
  </si>
  <si>
    <t>Compliance-driven, moderate customisation</t>
  </si>
  <si>
    <t>Lowest friction, typically an add-on</t>
  </si>
  <si>
    <t>Jurisdiction-specific, compliance-heavy</t>
  </si>
  <si>
    <t>DuPont Analysis — Capital Efficiency</t>
  </si>
  <si>
    <t>Margin Depth</t>
  </si>
  <si>
    <t>Revenue Intensity</t>
  </si>
  <si>
    <t>1.00×</t>
  </si>
  <si>
    <t>2.36×</t>
  </si>
  <si>
    <t>2.95×</t>
  </si>
  <si>
    <t>1.19×</t>
  </si>
  <si>
    <t>0.92×</t>
  </si>
  <si>
    <t>1.77×</t>
  </si>
  <si>
    <t>BOYAR PARTNERS — Revenue-wise CAC (Portfolio Economics)</t>
  </si>
  <si>
    <t>All amounts in USD  |  INR Rate: ₹91.0  |  Total Revenue: $110,900  |  Net Margin after CAC: 24.2%</t>
  </si>
  <si>
    <t>Portfolio Summary Metrics</t>
  </si>
  <si>
    <t>Value (USD)</t>
  </si>
  <si>
    <t>Value (INR)</t>
  </si>
  <si>
    <t>16 clients, Year 1</t>
  </si>
  <si>
    <t>Blended Gross Margin %</t>
  </si>
  <si>
    <t>52.3%</t>
  </si>
  <si>
    <t>Revenue − Supplier Costs</t>
  </si>
  <si>
    <t>Activity-Based Costing</t>
  </si>
  <si>
    <t>Portfolio GP:CAC Ratio</t>
  </si>
  <si>
    <t>1.9× — strong unit economics</t>
  </si>
  <si>
    <t>CAC % of Revenue</t>
  </si>
  <si>
    <t>28.1%</t>
  </si>
  <si>
    <t>Net Profit Contribution by Service</t>
  </si>
  <si>
    <t>Scenario Analysis — Full Structure Sensitivity</t>
  </si>
  <si>
    <t>Scenario</t>
  </si>
  <si>
    <t>Revenue (USD)</t>
  </si>
  <si>
    <t>Net Profit (USD)</t>
  </si>
  <si>
    <t>Change vs Base</t>
  </si>
  <si>
    <t>Base case (2 Full Structures)</t>
  </si>
  <si>
    <t>Current Year 1 projection</t>
  </si>
  <si>
    <t>-1 Full Structure</t>
  </si>
  <si>
    <t>-36.6%</t>
  </si>
  <si>
    <t>Revenue drops $29.7K</t>
  </si>
  <si>
    <t>-2 Full Structures (zero)</t>
  </si>
  <si>
    <t>-73.1%</t>
  </si>
  <si>
    <t>No Full Structure mandates</t>
  </si>
  <si>
    <t>+1 Full Structure</t>
  </si>
  <si>
    <t>+36.6%</t>
  </si>
  <si>
    <t>3rd mandate adds $29.7K</t>
  </si>
  <si>
    <t>Portfolio Quadrant Classification</t>
  </si>
  <si>
    <t>Category</t>
  </si>
  <si>
    <t>CAC % of Rev</t>
  </si>
  <si>
    <t>Action</t>
  </si>
  <si>
    <t>Stars</t>
  </si>
  <si>
    <t>Scale aggressively</t>
  </si>
  <si>
    <t>Cash Cows</t>
  </si>
  <si>
    <t>Maintain</t>
  </si>
  <si>
    <t>Question Marks</t>
  </si>
  <si>
    <t>Monitor &amp; optimise</t>
  </si>
  <si>
    <t>Bundle or sunset</t>
  </si>
  <si>
    <t>Entry Product</t>
  </si>
  <si>
    <t>Pipeline feeder — upsell</t>
  </si>
  <si>
    <t>BOYAR PARTNERS — Funnel Analysis (Year 1, FY2026)</t>
  </si>
  <si>
    <t>All amounts in USD  |  5,542 paid clicks → 16 closed clients  |  Blended CPC: $3.09</t>
  </si>
  <si>
    <t>Conversion Funnel Breakdown</t>
  </si>
  <si>
    <t>Stage</t>
  </si>
  <si>
    <t>Key Conversion Metrics</t>
  </si>
  <si>
    <t>Click → Client Conversion</t>
  </si>
  <si>
    <t>Qualification-heavy funnel by design</t>
  </si>
  <si>
    <t>Qualified → Closed</t>
  </si>
  <si>
    <t>Strong diligence filter</t>
  </si>
  <si>
    <t>Total Paid Clicks</t>
  </si>
  <si>
    <t>Global media buy</t>
  </si>
  <si>
    <t>Leads Generated</t>
  </si>
  <si>
    <t>30% click-to-lead rate</t>
  </si>
  <si>
    <t>High bar — compliance criteria</t>
  </si>
  <si>
    <t>Final Closed Clients (Y1)</t>
  </si>
  <si>
    <t>Signed mandates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</si>
</sst>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%;\(0.0%\);\-"/>
    <numFmt numFmtId="166" formatCode="0.00\×"/>
    <numFmt numFmtId="167" formatCode="0.0%"/>
    <numFmt numFmtId="168" formatCode="#,##0.0"/>
  </numFmts>
  <fonts count="9" x14ac:knownFonts="1">
    <font>
      <sz val="11"/>
      <color theme="1"/>
      <name val="Calibri"/>
      <family val="2"/>
      <charset val="1"/>
    </font>
    <font>
      <b/>
      <sz val="12"/>
      <color rgb="FF1B2A4A"/>
      <name val="Arial"/>
      <charset val="1"/>
    </font>
    <font>
      <sz val="10"/>
      <color rgb="FF666666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name val="Calibri"/>
      <family val="2"/>
      <charset val="1"/>
    </font>
    <font>
      <b/>
      <sz val="1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B2A4A"/>
        <bgColor rgb="FF003366"/>
      </patternFill>
    </fill>
    <fill>
      <patternFill patternType="solid">
        <fgColor rgb="FF000000"/>
        <bgColor rgb="FF003300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3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1" fillId="0" borderId="0" xfId="0" applyFont="1"/>
    <xf numFmtId="0" fontId="5" fillId="0" borderId="0" xfId="0" applyFont="1"/>
    <xf numFmtId="3" fontId="6" fillId="0" borderId="0" xfId="0" applyNumberFormat="1" applyFont="1"/>
    <xf numFmtId="0" fontId="6" fillId="0" borderId="0" xfId="0" applyFont="1"/>
    <xf numFmtId="9" fontId="4" fillId="3" borderId="1" xfId="0" applyNumberFormat="1" applyFont="1" applyFill="1" applyBorder="1" applyAlignment="1">
      <alignment horizontal="right" vertical="center"/>
    </xf>
    <xf numFmtId="4" fontId="4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9" fontId="3" fillId="4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0" fontId="0" fillId="6" borderId="2" xfId="0" applyFill="1" applyBorder="1"/>
    <xf numFmtId="4" fontId="6" fillId="0" borderId="0" xfId="0" applyNumberFormat="1" applyFont="1"/>
    <xf numFmtId="166" fontId="4" fillId="3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right" vertical="center"/>
    </xf>
    <xf numFmtId="167" fontId="4" fillId="3" borderId="1" xfId="0" applyNumberFormat="1" applyFont="1" applyFill="1" applyBorder="1" applyAlignment="1">
      <alignment horizontal="right" vertical="center"/>
    </xf>
    <xf numFmtId="168" fontId="4" fillId="3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D9D9D9"/>
      <rgbColor rgb="FF878787"/>
      <rgbColor rgb="FF9999FF"/>
      <rgbColor rgb="FFBE4B48"/>
      <rgbColor rgb="FFF2F2F2"/>
      <rgbColor rgb="FFD6E4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C0504D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Regional Ad Spend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'Marketing CAC'!$D$6</c:f>
              <c:strCache>
                <c:ptCount val="1"/>
                <c:pt idx="0">
                  <c:v>Spend (USD)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46C-2B46-A7FB-FF1BAD3A707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46C-2B46-A7FB-FF1BAD3A707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46C-2B46-A7FB-FF1BAD3A707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46C-2B46-A7FB-FF1BAD3A7074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E46C-2B46-A7FB-FF1BAD3A707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46C-2B46-A7FB-FF1BAD3A707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46C-2B46-A7FB-FF1BAD3A7074}"/>
                </c:ext>
              </c:extLst>
            </c:dLbl>
            <c:dLbl>
              <c:idx val="2"/>
              <c:layout>
                <c:manualLayout>
                  <c:x val="-6.6745042176894103E-3"/>
                  <c:y val="0.1798157376360818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6C-2B46-A7FB-FF1BAD3A7074}"/>
                </c:ext>
              </c:extLst>
            </c:dLbl>
            <c:dLbl>
              <c:idx val="3"/>
              <c:layout>
                <c:manualLayout>
                  <c:x val="-7.2488908721134782E-2"/>
                  <c:y val="0.29607176599173785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6C-2B46-A7FB-FF1BAD3A7074}"/>
                </c:ext>
              </c:extLst>
            </c:dLbl>
            <c:dLbl>
              <c:idx val="4"/>
              <c:layout>
                <c:manualLayout>
                  <c:x val="-0.18271026232912566"/>
                  <c:y val="0.11470795279820678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46C-2B46-A7FB-FF1BAD3A70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'Marketing CAC'!$B$7:$B$11</c:f>
              <c:strCache>
                <c:ptCount val="5"/>
                <c:pt idx="0">
                  <c:v>Europe</c:v>
                </c:pt>
                <c:pt idx="1">
                  <c:v>Asia &amp; MENA</c:v>
                </c:pt>
                <c:pt idx="2">
                  <c:v>North America</c:v>
                </c:pt>
                <c:pt idx="3">
                  <c:v>South Africa</c:v>
                </c:pt>
                <c:pt idx="4">
                  <c:v>South America</c:v>
                </c:pt>
              </c:strCache>
            </c:strRef>
          </c:cat>
          <c:val>
            <c:numRef>
              <c:f>'Marketing CAC'!$D$7:$D$11</c:f>
              <c:numCache>
                <c:formatCode>#,##0</c:formatCode>
                <c:ptCount val="5"/>
                <c:pt idx="0">
                  <c:v>6000</c:v>
                </c:pt>
                <c:pt idx="1">
                  <c:v>5143</c:v>
                </c:pt>
                <c:pt idx="2">
                  <c:v>4286</c:v>
                </c:pt>
                <c:pt idx="3">
                  <c:v>857</c:v>
                </c:pt>
                <c:pt idx="4">
                  <c:v>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6C-2B46-A7FB-FF1BAD3A7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Clicks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'Marketing CAC'!$G$6</c:f>
              <c:strCache>
                <c:ptCount val="1"/>
                <c:pt idx="0">
                  <c:v>Clicks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'Marketing CAC'!$B$7:$B$11</c:f>
              <c:strCache>
                <c:ptCount val="5"/>
                <c:pt idx="0">
                  <c:v>Europe</c:v>
                </c:pt>
                <c:pt idx="1">
                  <c:v>Asia &amp; MENA</c:v>
                </c:pt>
                <c:pt idx="2">
                  <c:v>North America</c:v>
                </c:pt>
                <c:pt idx="3">
                  <c:v>South Africa</c:v>
                </c:pt>
                <c:pt idx="4">
                  <c:v>South America</c:v>
                </c:pt>
              </c:strCache>
            </c:strRef>
          </c:cat>
          <c:val>
            <c:numRef>
              <c:f>'Marketing CAC'!$G$7:$G$11</c:f>
              <c:numCache>
                <c:formatCode>#,##0</c:formatCode>
                <c:ptCount val="5"/>
                <c:pt idx="0">
                  <c:v>1714.2857142857142</c:v>
                </c:pt>
                <c:pt idx="1">
                  <c:v>2057.1999999999998</c:v>
                </c:pt>
                <c:pt idx="2">
                  <c:v>857.2</c:v>
                </c:pt>
                <c:pt idx="3">
                  <c:v>571.33333333333337</c:v>
                </c:pt>
                <c:pt idx="4">
                  <c:v>342.8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1-D34B-866A-936ECAE70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5210"/>
        <c:axId val="96799362"/>
      </c:barChart>
      <c:catAx>
        <c:axId val="7452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799362"/>
        <c:crosses val="autoZero"/>
        <c:auto val="1"/>
        <c:lblAlgn val="ctr"/>
        <c:lblOffset val="100"/>
        <c:noMultiLvlLbl val="0"/>
      </c:catAx>
      <c:valAx>
        <c:axId val="96799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Clicks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52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Service Line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'Marketing CAC'!$H$25</c:f>
              <c:strCache>
                <c:ptCount val="1"/>
                <c:pt idx="0">
                  <c:v>Total (USD)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'Marketing CAC'!$B$26:$B$31</c:f>
              <c:strCache>
                <c:ptCount val="6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Office Registration</c:v>
                </c:pt>
                <c:pt idx="5">
                  <c:v>Banking</c:v>
                </c:pt>
              </c:strCache>
            </c:strRef>
          </c:cat>
          <c:val>
            <c:numRef>
              <c:f>'Marketing CAC'!$H$26:$H$31</c:f>
              <c:numCache>
                <c:formatCode>#,##0</c:formatCode>
                <c:ptCount val="6"/>
                <c:pt idx="0">
                  <c:v>15000</c:v>
                </c:pt>
                <c:pt idx="1">
                  <c:v>13000</c:v>
                </c:pt>
                <c:pt idx="2">
                  <c:v>59400</c:v>
                </c:pt>
                <c:pt idx="3">
                  <c:v>14000</c:v>
                </c:pt>
                <c:pt idx="4">
                  <c:v>3000</c:v>
                </c:pt>
                <c:pt idx="5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3-A44F-9AF9-98D52251B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25379"/>
        <c:axId val="68118392"/>
      </c:barChart>
      <c:catAx>
        <c:axId val="2542537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118392"/>
        <c:crosses val="autoZero"/>
        <c:auto val="1"/>
        <c:lblAlgn val="ctr"/>
        <c:lblOffset val="100"/>
        <c:noMultiLvlLbl val="0"/>
      </c:catAx>
      <c:valAx>
        <c:axId val="681183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4253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Client Distribution by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'Marketing CAC'!$C$25</c:f>
              <c:strCache>
                <c:ptCount val="1"/>
                <c:pt idx="0">
                  <c:v>Clients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EAA-144C-9E0A-44267C2D773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EAA-144C-9E0A-44267C2D773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EAA-144C-9E0A-44267C2D773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EAA-144C-9E0A-44267C2D7731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0EAA-144C-9E0A-44267C2D7731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0EAA-144C-9E0A-44267C2D7731}"/>
              </c:ext>
            </c:extLst>
          </c:dPt>
          <c:dLbls>
            <c:dLbl>
              <c:idx val="0"/>
              <c:layout>
                <c:manualLayout>
                  <c:x val="-0.22789102657616297"/>
                  <c:y val="0.10204794279468701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AA-144C-9E0A-44267C2D773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EAA-144C-9E0A-44267C2D7731}"/>
                </c:ext>
              </c:extLst>
            </c:dLbl>
            <c:dLbl>
              <c:idx val="2"/>
              <c:layout>
                <c:manualLayout>
                  <c:x val="-2.8920134210910213E-2"/>
                  <c:y val="-2.6009151368073954E-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AA-144C-9E0A-44267C2D7731}"/>
                </c:ext>
              </c:extLst>
            </c:dLbl>
            <c:dLbl>
              <c:idx val="3"/>
              <c:layout>
                <c:manualLayout>
                  <c:x val="8.2030197454798212E-2"/>
                  <c:y val="-0.10992139209474938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AA-144C-9E0A-44267C2D7731}"/>
                </c:ext>
              </c:extLst>
            </c:dLbl>
            <c:dLbl>
              <c:idx val="4"/>
              <c:layout>
                <c:manualLayout>
                  <c:x val="-3.9089785725931712E-3"/>
                  <c:y val="8.86552675941535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EAA-144C-9E0A-44267C2D7731}"/>
                </c:ext>
              </c:extLst>
            </c:dLbl>
            <c:dLbl>
              <c:idx val="5"/>
              <c:layout>
                <c:manualLayout>
                  <c:x val="-0.15262736735516977"/>
                  <c:y val="-3.2406464002766406E-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EAA-144C-9E0A-44267C2D77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'Marketing CAC'!$B$26:$B$31</c:f>
              <c:strCache>
                <c:ptCount val="6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Office Registration</c:v>
                </c:pt>
                <c:pt idx="5">
                  <c:v>Banking</c:v>
                </c:pt>
              </c:strCache>
            </c:strRef>
          </c:cat>
          <c:val>
            <c:numRef>
              <c:f>'Marketing CAC'!$C$26:$C$31</c:f>
              <c:numCache>
                <c:formatCode>#,##0</c:formatCode>
                <c:ptCount val="6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EAA-144C-9E0A-44267C2D7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→ Profit Waterfall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'True CAC Hub'!$C$17</c:f>
              <c:strCache>
                <c:ptCount val="1"/>
                <c:pt idx="0">
                  <c:v>Amount (USD)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'True CAC Hub'!$B$18:$B$22</c:f>
              <c:strCache>
                <c:ptCount val="5"/>
                <c:pt idx="0">
                  <c:v>Total Revenue</c:v>
                </c:pt>
                <c:pt idx="1">
                  <c:v>Less: Supplier Costs</c:v>
                </c:pt>
                <c:pt idx="2">
                  <c:v>Gross Profit</c:v>
                </c:pt>
                <c:pt idx="3">
                  <c:v>Less: True CAC Pool</c:v>
                </c:pt>
                <c:pt idx="4">
                  <c:v>Net Profit after CAC</c:v>
                </c:pt>
              </c:strCache>
            </c:strRef>
          </c:cat>
          <c:val>
            <c:numRef>
              <c:f>'True CAC Hub'!$C$18:$C$22</c:f>
              <c:numCache>
                <c:formatCode>#,##0;\(#,##0\);\-</c:formatCode>
                <c:ptCount val="5"/>
                <c:pt idx="0">
                  <c:v>110900</c:v>
                </c:pt>
                <c:pt idx="1">
                  <c:v>-52875</c:v>
                </c:pt>
                <c:pt idx="2">
                  <c:v>58025</c:v>
                </c:pt>
                <c:pt idx="3">
                  <c:v>-31200</c:v>
                </c:pt>
                <c:pt idx="4">
                  <c:v>26825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1-1C49-988D-855796373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07954"/>
        <c:axId val="72388267"/>
      </c:barChart>
      <c:catAx>
        <c:axId val="562079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388267"/>
        <c:crosses val="autoZero"/>
        <c:auto val="1"/>
        <c:lblAlgn val="ctr"/>
        <c:lblOffset val="100"/>
        <c:noMultiLvlLbl val="0"/>
      </c:catAx>
      <c:valAx>
        <c:axId val="723882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2079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True CAC by Service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'Group-wise CAC'!$E$24</c:f>
              <c:strCache>
                <c:ptCount val="1"/>
                <c:pt idx="0">
                  <c:v>True CAC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'Group-wise CAC'!$B$25:$B$30</c:f>
              <c:strCache>
                <c:ptCount val="6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Office Registration</c:v>
                </c:pt>
                <c:pt idx="5">
                  <c:v>Banking</c:v>
                </c:pt>
              </c:strCache>
            </c:strRef>
          </c:cat>
          <c:val>
            <c:numRef>
              <c:f>'Group-wise CAC'!$E$25:$E$30</c:f>
              <c:numCache>
                <c:formatCode>#,##0</c:formatCode>
                <c:ptCount val="6"/>
                <c:pt idx="0">
                  <c:v>1172</c:v>
                </c:pt>
                <c:pt idx="1">
                  <c:v>3024</c:v>
                </c:pt>
                <c:pt idx="2">
                  <c:v>5040</c:v>
                </c:pt>
                <c:pt idx="3">
                  <c:v>1759</c:v>
                </c:pt>
                <c:pt idx="4">
                  <c:v>815</c:v>
                </c:pt>
                <c:pt idx="5">
                  <c:v>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0-864E-B934-76CF36E0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05793"/>
        <c:axId val="54210075"/>
      </c:barChart>
      <c:catAx>
        <c:axId val="300579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210075"/>
        <c:crosses val="autoZero"/>
        <c:auto val="1"/>
        <c:lblAlgn val="ctr"/>
        <c:lblOffset val="100"/>
        <c:noMultiLvlLbl val="0"/>
      </c:catAx>
      <c:valAx>
        <c:axId val="5421007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057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CAC Absorption by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'Group-wise CAC'!$G$24</c:f>
              <c:strCache>
                <c:ptCount val="1"/>
                <c:pt idx="0">
                  <c:v>Total Absorbed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3D7-3E42-936D-10DAF6585AE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3D7-3E42-936D-10DAF6585AE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3D7-3E42-936D-10DAF6585AE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3D7-3E42-936D-10DAF6585AEE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3D7-3E42-936D-10DAF6585AEE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73D7-3E42-936D-10DAF6585AE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3D7-3E42-936D-10DAF6585AEE}"/>
                </c:ext>
              </c:extLst>
            </c:dLbl>
            <c:dLbl>
              <c:idx val="1"/>
              <c:layout>
                <c:manualLayout>
                  <c:x val="-4.085238799298567E-2"/>
                  <c:y val="5.7220750510982256E-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D7-3E42-936D-10DAF6585AE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3D7-3E42-936D-10DAF6585AEE}"/>
                </c:ext>
              </c:extLst>
            </c:dLbl>
            <c:dLbl>
              <c:idx val="3"/>
              <c:layout>
                <c:manualLayout>
                  <c:x val="0"/>
                  <c:y val="3.6845680270218464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D7-3E42-936D-10DAF6585AEE}"/>
                </c:ext>
              </c:extLst>
            </c:dLbl>
            <c:dLbl>
              <c:idx val="4"/>
              <c:layout>
                <c:manualLayout>
                  <c:x val="-4.835986658872881E-2"/>
                  <c:y val="0.13600896611770805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D7-3E42-936D-10DAF6585AEE}"/>
                </c:ext>
              </c:extLst>
            </c:dLbl>
            <c:dLbl>
              <c:idx val="5"/>
              <c:layout>
                <c:manualLayout>
                  <c:x val="-4.5394732317848914E-2"/>
                  <c:y val="2.7543024397473186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D7-3E42-936D-10DAF6585A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'Group-wise CAC'!$B$25:$B$30</c:f>
              <c:strCache>
                <c:ptCount val="6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Office Registration</c:v>
                </c:pt>
                <c:pt idx="5">
                  <c:v>Banking</c:v>
                </c:pt>
              </c:strCache>
            </c:strRef>
          </c:cat>
          <c:val>
            <c:numRef>
              <c:f>'Group-wise CAC'!$G$25:$G$30</c:f>
              <c:numCache>
                <c:formatCode>#,##0</c:formatCode>
                <c:ptCount val="6"/>
                <c:pt idx="0">
                  <c:v>7032</c:v>
                </c:pt>
                <c:pt idx="1">
                  <c:v>3024</c:v>
                </c:pt>
                <c:pt idx="2">
                  <c:v>10080</c:v>
                </c:pt>
                <c:pt idx="3">
                  <c:v>7036</c:v>
                </c:pt>
                <c:pt idx="4">
                  <c:v>1630</c:v>
                </c:pt>
                <c:pt idx="5">
                  <c:v>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3D7-3E42-936D-10DAF6585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True CAC vs Gross Profit by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'Group-wise CAC'!$C$34</c:f>
              <c:strCache>
                <c:ptCount val="1"/>
                <c:pt idx="0">
                  <c:v>True CAC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'Group-wise CAC'!$B$35:$B$40</c:f>
              <c:strCache>
                <c:ptCount val="6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Office Registration</c:v>
                </c:pt>
                <c:pt idx="5">
                  <c:v>Banking</c:v>
                </c:pt>
              </c:strCache>
            </c:strRef>
          </c:cat>
          <c:val>
            <c:numRef>
              <c:f>'Group-wise CAC'!$C$35:$C$40</c:f>
              <c:numCache>
                <c:formatCode>#,##0</c:formatCode>
                <c:ptCount val="6"/>
                <c:pt idx="0">
                  <c:v>1173</c:v>
                </c:pt>
                <c:pt idx="1">
                  <c:v>3024</c:v>
                </c:pt>
                <c:pt idx="2">
                  <c:v>5041</c:v>
                </c:pt>
                <c:pt idx="3">
                  <c:v>1759</c:v>
                </c:pt>
                <c:pt idx="4">
                  <c:v>815</c:v>
                </c:pt>
                <c:pt idx="5">
                  <c:v>2383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8-7940-A3B7-DD317A646EBF}"/>
            </c:ext>
          </c:extLst>
        </c:ser>
        <c:ser>
          <c:idx val="1"/>
          <c:order val="1"/>
          <c:tx>
            <c:strRef>
              <c:f>'Group-wise CAC'!$F$34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'Group-wise CAC'!$B$35:$B$40</c:f>
              <c:strCache>
                <c:ptCount val="6"/>
                <c:pt idx="0">
                  <c:v>Company Formation</c:v>
                </c:pt>
                <c:pt idx="1">
                  <c:v>Standalone Trust</c:v>
                </c:pt>
                <c:pt idx="2">
                  <c:v>Full Structure</c:v>
                </c:pt>
                <c:pt idx="3">
                  <c:v>Corporate Services</c:v>
                </c:pt>
                <c:pt idx="4">
                  <c:v>Office Registration</c:v>
                </c:pt>
                <c:pt idx="5">
                  <c:v>Banking</c:v>
                </c:pt>
              </c:strCache>
            </c:strRef>
          </c:cat>
          <c:val>
            <c:numRef>
              <c:f>'Group-wise CAC'!$F$35:$F$40</c:f>
              <c:numCache>
                <c:formatCode>#,##0</c:formatCode>
                <c:ptCount val="6"/>
                <c:pt idx="0">
                  <c:v>1175</c:v>
                </c:pt>
                <c:pt idx="1">
                  <c:v>7150.0000000000009</c:v>
                </c:pt>
                <c:pt idx="2">
                  <c:v>14850</c:v>
                </c:pt>
                <c:pt idx="3">
                  <c:v>2100</c:v>
                </c:pt>
                <c:pt idx="4">
                  <c:v>750</c:v>
                </c:pt>
                <c:pt idx="5">
                  <c:v>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08-7940-A3B7-DD317A646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326731"/>
        <c:axId val="7417894"/>
      </c:barChart>
      <c:catAx>
        <c:axId val="293267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17894"/>
        <c:crosses val="autoZero"/>
        <c:auto val="1"/>
        <c:lblAlgn val="ctr"/>
        <c:lblOffset val="100"/>
        <c:noMultiLvlLbl val="0"/>
      </c:catAx>
      <c:valAx>
        <c:axId val="74178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3267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Net Profit after CAC by Service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'Revenue-wise CAC'!$G$16</c:f>
              <c:strCache>
                <c:ptCount val="1"/>
                <c:pt idx="0">
                  <c:v>GP after CAC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'Revenue-wise CAC'!$B$17:$B$22</c:f>
              <c:strCache>
                <c:ptCount val="6"/>
                <c:pt idx="0">
                  <c:v>Full Structure</c:v>
                </c:pt>
                <c:pt idx="1">
                  <c:v>Standalone Trust</c:v>
                </c:pt>
                <c:pt idx="2">
                  <c:v>Banking</c:v>
                </c:pt>
                <c:pt idx="3">
                  <c:v>Corporate Services</c:v>
                </c:pt>
                <c:pt idx="4">
                  <c:v>Company Formation</c:v>
                </c:pt>
                <c:pt idx="5">
                  <c:v>Office Registration</c:v>
                </c:pt>
              </c:strCache>
            </c:strRef>
          </c:cat>
          <c:val>
            <c:numRef>
              <c:f>'Revenue-wise CAC'!$G$17:$G$22</c:f>
              <c:numCache>
                <c:formatCode>#,##0;\(#,##0\);\-</c:formatCode>
                <c:ptCount val="6"/>
                <c:pt idx="0">
                  <c:v>19618</c:v>
                </c:pt>
                <c:pt idx="1">
                  <c:v>4126.0000000000009</c:v>
                </c:pt>
                <c:pt idx="2">
                  <c:v>1842</c:v>
                </c:pt>
                <c:pt idx="3">
                  <c:v>1364</c:v>
                </c:pt>
                <c:pt idx="4">
                  <c:v>12</c:v>
                </c:pt>
                <c:pt idx="5">
                  <c:v>-130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E-CE44-9FFF-204D93D20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737223"/>
        <c:axId val="12043044"/>
      </c:barChart>
      <c:catAx>
        <c:axId val="4773722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043044"/>
        <c:crosses val="autoZero"/>
        <c:auto val="1"/>
        <c:lblAlgn val="ctr"/>
        <c:lblOffset val="100"/>
        <c:noMultiLvlLbl val="0"/>
      </c:catAx>
      <c:valAx>
        <c:axId val="1204304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7372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Scenario: Revenue vs Net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'Revenue-wise CAC'!$C$27</c:f>
              <c:strCache>
                <c:ptCount val="1"/>
                <c:pt idx="0">
                  <c:v>Revenue (USD)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'Revenue-wise CAC'!$B$28:$B$31</c:f>
              <c:strCache>
                <c:ptCount val="4"/>
                <c:pt idx="0">
                  <c:v>Base case (2 Full Structures)</c:v>
                </c:pt>
                <c:pt idx="1">
                  <c:v>-1 Full Structure</c:v>
                </c:pt>
                <c:pt idx="2">
                  <c:v>-2 Full Structures (zero)</c:v>
                </c:pt>
                <c:pt idx="3">
                  <c:v>+1 Full Structure</c:v>
                </c:pt>
              </c:strCache>
            </c:strRef>
          </c:cat>
          <c:val>
            <c:numRef>
              <c:f>'Revenue-wise CAC'!$C$28:$C$31</c:f>
              <c:numCache>
                <c:formatCode>#,##0</c:formatCode>
                <c:ptCount val="4"/>
                <c:pt idx="0">
                  <c:v>110900</c:v>
                </c:pt>
                <c:pt idx="1">
                  <c:v>81200</c:v>
                </c:pt>
                <c:pt idx="2">
                  <c:v>51500</c:v>
                </c:pt>
                <c:pt idx="3">
                  <c:v>140600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8A-1B42-B10E-E49278A5E1BC}"/>
            </c:ext>
          </c:extLst>
        </c:ser>
        <c:ser>
          <c:idx val="1"/>
          <c:order val="1"/>
          <c:tx>
            <c:strRef>
              <c:f>'Revenue-wise CAC'!$D$27</c:f>
              <c:strCache>
                <c:ptCount val="1"/>
                <c:pt idx="0">
                  <c:v>Net Profit (USD)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'Revenue-wise CAC'!$B$28:$B$31</c:f>
              <c:strCache>
                <c:ptCount val="4"/>
                <c:pt idx="0">
                  <c:v>Base case (2 Full Structures)</c:v>
                </c:pt>
                <c:pt idx="1">
                  <c:v>-1 Full Structure</c:v>
                </c:pt>
                <c:pt idx="2">
                  <c:v>-2 Full Structures (zero)</c:v>
                </c:pt>
                <c:pt idx="3">
                  <c:v>+1 Full Structure</c:v>
                </c:pt>
              </c:strCache>
            </c:strRef>
          </c:cat>
          <c:val>
            <c:numRef>
              <c:f>'Revenue-wise CAC'!$D$28:$D$31</c:f>
              <c:numCache>
                <c:formatCode>#,##0;\(#,##0\);\-</c:formatCode>
                <c:ptCount val="4"/>
                <c:pt idx="0">
                  <c:v>26825</c:v>
                </c:pt>
                <c:pt idx="1">
                  <c:v>17016</c:v>
                </c:pt>
                <c:pt idx="2">
                  <c:v>7207</c:v>
                </c:pt>
                <c:pt idx="3">
                  <c:v>36634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8A-1B42-B10E-E49278A5E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3145975"/>
        <c:axId val="26943657"/>
      </c:lineChart>
      <c:catAx>
        <c:axId val="531459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943657"/>
        <c:crosses val="autoZero"/>
        <c:auto val="1"/>
        <c:lblAlgn val="ctr"/>
        <c:lblOffset val="100"/>
        <c:noMultiLvlLbl val="0"/>
      </c:catAx>
      <c:valAx>
        <c:axId val="269436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1459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Share by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'Revenue-wise CAC'!$D$16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A45-524B-84F0-DE1BF1F9BB3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A45-524B-84F0-DE1BF1F9BB3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A45-524B-84F0-DE1BF1F9BB3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A45-524B-84F0-DE1BF1F9BB36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A45-524B-84F0-DE1BF1F9BB36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DA45-524B-84F0-DE1BF1F9BB36}"/>
              </c:ext>
            </c:extLst>
          </c:dPt>
          <c:dLbls>
            <c:dLbl>
              <c:idx val="0"/>
              <c:layout>
                <c:manualLayout>
                  <c:x val="-0.22069536980954305"/>
                  <c:y val="-5.0150962268694317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45-524B-84F0-DE1BF1F9BB36}"/>
                </c:ext>
              </c:extLst>
            </c:dLbl>
            <c:dLbl>
              <c:idx val="1"/>
              <c:layout>
                <c:manualLayout>
                  <c:x val="5.3361514906790496E-2"/>
                  <c:y val="3.4791091682565556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45-524B-84F0-DE1BF1F9BB3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A45-524B-84F0-DE1BF1F9BB36}"/>
                </c:ext>
              </c:extLst>
            </c:dLbl>
            <c:dLbl>
              <c:idx val="3"/>
              <c:layout>
                <c:manualLayout>
                  <c:x val="-1.8368749579379499E-2"/>
                  <c:y val="5.5060786238662396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A45-524B-84F0-DE1BF1F9BB36}"/>
                </c:ext>
              </c:extLst>
            </c:dLbl>
            <c:dLbl>
              <c:idx val="4"/>
              <c:layout>
                <c:manualLayout>
                  <c:x val="-6.5071421360791443E-2"/>
                  <c:y val="0.1678703515043745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A45-524B-84F0-DE1BF1F9BB36}"/>
                </c:ext>
              </c:extLst>
            </c:dLbl>
            <c:dLbl>
              <c:idx val="5"/>
              <c:layout>
                <c:manualLayout>
                  <c:x val="-0.24484706238643247"/>
                  <c:y val="3.9362871308524894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A45-524B-84F0-DE1BF1F9BB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'Revenue-wise CAC'!$B$17:$B$22</c:f>
              <c:strCache>
                <c:ptCount val="6"/>
                <c:pt idx="0">
                  <c:v>Full Structure</c:v>
                </c:pt>
                <c:pt idx="1">
                  <c:v>Standalone Trust</c:v>
                </c:pt>
                <c:pt idx="2">
                  <c:v>Banking</c:v>
                </c:pt>
                <c:pt idx="3">
                  <c:v>Corporate Services</c:v>
                </c:pt>
                <c:pt idx="4">
                  <c:v>Company Formation</c:v>
                </c:pt>
                <c:pt idx="5">
                  <c:v>Office Registration</c:v>
                </c:pt>
              </c:strCache>
            </c:strRef>
          </c:cat>
          <c:val>
            <c:numRef>
              <c:f>'Revenue-wise CAC'!$D$17:$D$22</c:f>
              <c:numCache>
                <c:formatCode>#,##0</c:formatCode>
                <c:ptCount val="6"/>
                <c:pt idx="0">
                  <c:v>59400</c:v>
                </c:pt>
                <c:pt idx="1">
                  <c:v>13000</c:v>
                </c:pt>
                <c:pt idx="2">
                  <c:v>6500</c:v>
                </c:pt>
                <c:pt idx="3">
                  <c:v>14000</c:v>
                </c:pt>
                <c:pt idx="4">
                  <c:v>15000</c:v>
                </c:pt>
                <c:pt idx="5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A45-524B-84F0-DE1BF1F9B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Funnel Volume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'Funnel Analysis'!$D$6</c:f>
              <c:strCache>
                <c:ptCount val="1"/>
                <c:pt idx="0">
                  <c:v>Volume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'Funnel Analysis'!$B$7:$B$12</c:f>
              <c:strCache>
                <c:ptCount val="6"/>
                <c:pt idx="0">
                  <c:v>Paid Clicks</c:v>
                </c:pt>
                <c:pt idx="1">
                  <c:v>Leads &amp; Inquiries</c:v>
                </c:pt>
                <c:pt idx="2">
                  <c:v>Qualified Leads</c:v>
                </c:pt>
                <c:pt idx="3">
                  <c:v>Calls Booked</c:v>
                </c:pt>
                <c:pt idx="4">
                  <c:v>High-Intent Prospects</c:v>
                </c:pt>
                <c:pt idx="5">
                  <c:v>Closed Clients</c:v>
                </c:pt>
              </c:strCache>
            </c:strRef>
          </c:cat>
          <c:val>
            <c:numRef>
              <c:f>'Funnel Analysis'!$D$7:$D$12</c:f>
              <c:numCache>
                <c:formatCode>#,##0</c:formatCode>
                <c:ptCount val="6"/>
                <c:pt idx="0">
                  <c:v>5542</c:v>
                </c:pt>
                <c:pt idx="1">
                  <c:v>1663</c:v>
                </c:pt>
                <c:pt idx="2">
                  <c:v>998</c:v>
                </c:pt>
                <c:pt idx="3">
                  <c:v>499</c:v>
                </c:pt>
                <c:pt idx="4">
                  <c:v>200</c:v>
                </c:pt>
                <c:pt idx="5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AE-AC48-BAC1-C574A4CAC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594085"/>
        <c:axId val="49003288"/>
      </c:lineChart>
      <c:catAx>
        <c:axId val="135940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003288"/>
        <c:crosses val="autoZero"/>
        <c:auto val="1"/>
        <c:lblAlgn val="ctr"/>
        <c:lblOffset val="100"/>
        <c:noMultiLvlLbl val="0"/>
      </c:catAx>
      <c:valAx>
        <c:axId val="49003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5940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16</xdr:col>
      <xdr:colOff>38520</xdr:colOff>
      <xdr:row>21</xdr:row>
      <xdr:rowOff>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635000</xdr:colOff>
      <xdr:row>22</xdr:row>
      <xdr:rowOff>0</xdr:rowOff>
    </xdr:from>
    <xdr:to>
      <xdr:col>16</xdr:col>
      <xdr:colOff>13120</xdr:colOff>
      <xdr:row>39</xdr:row>
      <xdr:rowOff>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330200</xdr:colOff>
      <xdr:row>3</xdr:row>
      <xdr:rowOff>114300</xdr:rowOff>
    </xdr:from>
    <xdr:to>
      <xdr:col>23</xdr:col>
      <xdr:colOff>368720</xdr:colOff>
      <xdr:row>20</xdr:row>
      <xdr:rowOff>114600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292100</xdr:colOff>
      <xdr:row>21</xdr:row>
      <xdr:rowOff>139700</xdr:rowOff>
    </xdr:from>
    <xdr:to>
      <xdr:col>23</xdr:col>
      <xdr:colOff>330620</xdr:colOff>
      <xdr:row>38</xdr:row>
      <xdr:rowOff>140060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1193800</xdr:colOff>
      <xdr:row>6</xdr:row>
      <xdr:rowOff>76200</xdr:rowOff>
    </xdr:from>
    <xdr:to>
      <xdr:col>14</xdr:col>
      <xdr:colOff>216520</xdr:colOff>
      <xdr:row>25</xdr:row>
      <xdr:rowOff>55620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16</xdr:col>
      <xdr:colOff>398520</xdr:colOff>
      <xdr:row>22</xdr:row>
      <xdr:rowOff>169920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152400</xdr:colOff>
      <xdr:row>4</xdr:row>
      <xdr:rowOff>88900</xdr:rowOff>
    </xdr:from>
    <xdr:to>
      <xdr:col>26</xdr:col>
      <xdr:colOff>25400</xdr:colOff>
      <xdr:row>21</xdr:row>
      <xdr:rowOff>89260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254000</xdr:colOff>
      <xdr:row>26</xdr:row>
      <xdr:rowOff>127000</xdr:rowOff>
    </xdr:from>
    <xdr:to>
      <xdr:col>16</xdr:col>
      <xdr:colOff>652520</xdr:colOff>
      <xdr:row>45</xdr:row>
      <xdr:rowOff>106420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444500</xdr:colOff>
      <xdr:row>24</xdr:row>
      <xdr:rowOff>127000</xdr:rowOff>
    </xdr:from>
    <xdr:to>
      <xdr:col>24</xdr:col>
      <xdr:colOff>182260</xdr:colOff>
      <xdr:row>43</xdr:row>
      <xdr:rowOff>106420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977900</xdr:colOff>
      <xdr:row>25</xdr:row>
      <xdr:rowOff>177800</xdr:rowOff>
    </xdr:from>
    <xdr:to>
      <xdr:col>15</xdr:col>
      <xdr:colOff>309260</xdr:colOff>
      <xdr:row>42</xdr:row>
      <xdr:rowOff>178160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368300</xdr:colOff>
      <xdr:row>4</xdr:row>
      <xdr:rowOff>50800</xdr:rowOff>
    </xdr:from>
    <xdr:to>
      <xdr:col>25</xdr:col>
      <xdr:colOff>368300</xdr:colOff>
      <xdr:row>21</xdr:row>
      <xdr:rowOff>51520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177800</xdr:colOff>
      <xdr:row>3</xdr:row>
      <xdr:rowOff>139700</xdr:rowOff>
    </xdr:from>
    <xdr:to>
      <xdr:col>15</xdr:col>
      <xdr:colOff>324680</xdr:colOff>
      <xdr:row>22</xdr:row>
      <xdr:rowOff>119120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B2:H25"/>
  <sheetViews>
    <sheetView showGridLines="0" tabSelected="1" zoomScaleNormal="100" workbookViewId="0">
      <selection activeCell="C15" sqref="C15"/>
    </sheetView>
  </sheetViews>
  <sheetFormatPr baseColWidth="10" defaultColWidth="8.6640625" defaultRowHeight="15" x14ac:dyDescent="0.2"/>
  <cols>
    <col min="1" max="1" width="3" customWidth="1"/>
    <col min="2" max="2" width="26" customWidth="1"/>
    <col min="3" max="9" width="16" customWidth="1"/>
  </cols>
  <sheetData>
    <row r="2" spans="2:8" ht="17.25" customHeight="1" x14ac:dyDescent="0.2">
      <c r="B2" s="3" t="s">
        <v>0</v>
      </c>
      <c r="C2" s="3"/>
      <c r="D2" s="3"/>
      <c r="E2" s="3"/>
      <c r="F2" s="3"/>
      <c r="G2" s="3"/>
      <c r="H2" s="3"/>
    </row>
    <row r="3" spans="2:8" ht="15" customHeight="1" x14ac:dyDescent="0.2">
      <c r="B3" s="2" t="s">
        <v>1</v>
      </c>
      <c r="C3" s="2"/>
      <c r="D3" s="2"/>
      <c r="E3" s="2"/>
      <c r="F3" s="2"/>
      <c r="G3" s="2"/>
      <c r="H3" s="2"/>
    </row>
    <row r="5" spans="2:8" ht="15" customHeight="1" x14ac:dyDescent="0.2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8" ht="15" customHeight="1" x14ac:dyDescent="0.2">
      <c r="B6" s="5" t="s">
        <v>8</v>
      </c>
      <c r="C6" s="6">
        <v>17000</v>
      </c>
      <c r="D6" s="6">
        <v>1547000</v>
      </c>
      <c r="E6" s="6">
        <v>16</v>
      </c>
      <c r="F6" s="5" t="s">
        <v>9</v>
      </c>
      <c r="G6" s="5" t="s">
        <v>10</v>
      </c>
    </row>
    <row r="7" spans="2:8" ht="15" customHeight="1" x14ac:dyDescent="0.2">
      <c r="B7" s="5" t="s">
        <v>11</v>
      </c>
      <c r="C7" s="6">
        <v>31200</v>
      </c>
      <c r="D7" s="6">
        <v>2839200</v>
      </c>
      <c r="E7" s="6">
        <v>16</v>
      </c>
      <c r="F7" s="5" t="s">
        <v>12</v>
      </c>
      <c r="G7" s="5" t="s">
        <v>13</v>
      </c>
    </row>
    <row r="8" spans="2:8" ht="15" customHeight="1" x14ac:dyDescent="0.2">
      <c r="B8" s="5" t="s">
        <v>14</v>
      </c>
      <c r="C8" s="6">
        <v>23736</v>
      </c>
      <c r="D8" s="6">
        <v>2159976</v>
      </c>
      <c r="E8" s="6">
        <v>16</v>
      </c>
      <c r="F8" s="5" t="s">
        <v>15</v>
      </c>
      <c r="G8" s="5" t="s">
        <v>16</v>
      </c>
    </row>
    <row r="9" spans="2:8" ht="15" customHeight="1" x14ac:dyDescent="0.2">
      <c r="B9" s="5" t="s">
        <v>17</v>
      </c>
      <c r="C9" s="6">
        <v>7464</v>
      </c>
      <c r="D9" s="6">
        <v>679224</v>
      </c>
      <c r="E9" s="6">
        <v>16</v>
      </c>
      <c r="F9" s="5" t="s">
        <v>18</v>
      </c>
      <c r="G9" s="5" t="s">
        <v>16</v>
      </c>
    </row>
    <row r="10" spans="2:8" ht="15" customHeight="1" x14ac:dyDescent="0.2">
      <c r="B10" s="5" t="s">
        <v>19</v>
      </c>
      <c r="C10" s="6">
        <v>26825</v>
      </c>
      <c r="D10" s="6">
        <v>2441075</v>
      </c>
      <c r="E10" s="6">
        <v>16</v>
      </c>
      <c r="F10" s="5" t="s">
        <v>20</v>
      </c>
      <c r="G10" s="5" t="s">
        <v>21</v>
      </c>
    </row>
    <row r="11" spans="2:8" ht="15" customHeight="1" x14ac:dyDescent="0.2">
      <c r="B11" s="5" t="s">
        <v>22</v>
      </c>
      <c r="C11" s="7" t="s">
        <v>23</v>
      </c>
      <c r="D11" s="7" t="s">
        <v>23</v>
      </c>
      <c r="E11" s="6">
        <v>5542</v>
      </c>
      <c r="F11" s="5" t="s">
        <v>24</v>
      </c>
      <c r="G11" s="5" t="s">
        <v>25</v>
      </c>
    </row>
    <row r="12" spans="2:8" ht="15" customHeight="1" x14ac:dyDescent="0.2">
      <c r="B12" s="5" t="s">
        <v>26</v>
      </c>
      <c r="C12" s="7" t="s">
        <v>23</v>
      </c>
      <c r="D12" s="7" t="s">
        <v>23</v>
      </c>
      <c r="E12" s="6">
        <v>16</v>
      </c>
      <c r="F12" s="5" t="s">
        <v>27</v>
      </c>
      <c r="G12" s="5" t="s">
        <v>25</v>
      </c>
    </row>
    <row r="14" spans="2:8" ht="15" customHeight="1" x14ac:dyDescent="0.2">
      <c r="B14" s="8" t="s">
        <v>28</v>
      </c>
    </row>
    <row r="15" spans="2:8" ht="15" customHeight="1" x14ac:dyDescent="0.2">
      <c r="B15" s="9" t="s">
        <v>29</v>
      </c>
      <c r="C15" s="10">
        <v>17000</v>
      </c>
    </row>
    <row r="16" spans="2:8" ht="15" customHeight="1" x14ac:dyDescent="0.2">
      <c r="B16" s="9" t="s">
        <v>30</v>
      </c>
      <c r="C16" s="10">
        <v>1547000</v>
      </c>
    </row>
    <row r="17" spans="2:3" ht="15" customHeight="1" x14ac:dyDescent="0.2">
      <c r="B17" s="9" t="s">
        <v>31</v>
      </c>
      <c r="C17" s="10">
        <v>1063</v>
      </c>
    </row>
    <row r="18" spans="2:3" ht="15" customHeight="1" x14ac:dyDescent="0.2">
      <c r="B18" s="9" t="s">
        <v>32</v>
      </c>
      <c r="C18" s="11">
        <v>3.09</v>
      </c>
    </row>
    <row r="19" spans="2:3" ht="15" customHeight="1" x14ac:dyDescent="0.2">
      <c r="B19" s="9" t="s">
        <v>33</v>
      </c>
      <c r="C19" s="10">
        <v>31200</v>
      </c>
    </row>
    <row r="20" spans="2:3" ht="15" customHeight="1" x14ac:dyDescent="0.2">
      <c r="B20" s="9" t="s">
        <v>34</v>
      </c>
      <c r="C20" s="10">
        <v>1950</v>
      </c>
    </row>
    <row r="21" spans="2:3" ht="15" customHeight="1" x14ac:dyDescent="0.2">
      <c r="B21" s="9" t="s">
        <v>35</v>
      </c>
      <c r="C21" s="11" t="s">
        <v>36</v>
      </c>
    </row>
    <row r="22" spans="2:3" ht="15" customHeight="1" x14ac:dyDescent="0.2">
      <c r="B22" s="9" t="s">
        <v>37</v>
      </c>
      <c r="C22" s="10">
        <v>26825</v>
      </c>
    </row>
    <row r="23" spans="2:3" ht="15" customHeight="1" x14ac:dyDescent="0.2">
      <c r="B23" s="9" t="s">
        <v>38</v>
      </c>
      <c r="C23" s="10">
        <v>110900</v>
      </c>
    </row>
    <row r="24" spans="2:3" ht="15" customHeight="1" x14ac:dyDescent="0.2">
      <c r="B24" s="9" t="s">
        <v>39</v>
      </c>
      <c r="C24" s="10">
        <v>10091900</v>
      </c>
    </row>
    <row r="25" spans="2:3" ht="15" customHeight="1" x14ac:dyDescent="0.2">
      <c r="B25" s="9" t="s">
        <v>40</v>
      </c>
      <c r="C25" s="11" t="s">
        <v>41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B2:H50"/>
  <sheetViews>
    <sheetView showGridLines="0" topLeftCell="B1" zoomScaleNormal="100" workbookViewId="0">
      <selection activeCell="I10" sqref="I10"/>
    </sheetView>
  </sheetViews>
  <sheetFormatPr baseColWidth="10" defaultColWidth="8.6640625" defaultRowHeight="15" x14ac:dyDescent="0.2"/>
  <cols>
    <col min="1" max="1" width="3" customWidth="1"/>
    <col min="2" max="2" width="26" customWidth="1"/>
    <col min="3" max="8" width="16" customWidth="1"/>
  </cols>
  <sheetData>
    <row r="2" spans="2:8" ht="17.25" customHeight="1" x14ac:dyDescent="0.2">
      <c r="B2" s="3" t="s">
        <v>42</v>
      </c>
      <c r="C2" s="3"/>
      <c r="D2" s="3"/>
      <c r="E2" s="3"/>
      <c r="F2" s="3"/>
      <c r="G2" s="3"/>
      <c r="H2" s="3"/>
    </row>
    <row r="3" spans="2:8" ht="15" customHeight="1" x14ac:dyDescent="0.2">
      <c r="B3" s="2" t="s">
        <v>43</v>
      </c>
      <c r="C3" s="2"/>
      <c r="D3" s="2"/>
      <c r="E3" s="2"/>
      <c r="F3" s="2"/>
      <c r="G3" s="2"/>
      <c r="H3" s="2"/>
    </row>
    <row r="5" spans="2:8" ht="15" customHeight="1" x14ac:dyDescent="0.2">
      <c r="B5" s="8" t="s">
        <v>44</v>
      </c>
    </row>
    <row r="6" spans="2:8" ht="15" customHeight="1" x14ac:dyDescent="0.2"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</row>
    <row r="7" spans="2:8" ht="15" customHeight="1" x14ac:dyDescent="0.2">
      <c r="B7" s="5" t="s">
        <v>51</v>
      </c>
      <c r="C7" s="12">
        <v>0.35</v>
      </c>
      <c r="D7" s="6">
        <v>6000</v>
      </c>
      <c r="E7" s="6">
        <f>D7*91</f>
        <v>546000</v>
      </c>
      <c r="F7" s="13">
        <v>3.5</v>
      </c>
      <c r="G7" s="6">
        <f>D7/F7</f>
        <v>1714.2857142857142</v>
      </c>
    </row>
    <row r="8" spans="2:8" ht="15" customHeight="1" x14ac:dyDescent="0.2">
      <c r="B8" s="5" t="s">
        <v>52</v>
      </c>
      <c r="C8" s="12">
        <v>0.3</v>
      </c>
      <c r="D8" s="6">
        <v>5143</v>
      </c>
      <c r="E8" s="6">
        <f>D8*91</f>
        <v>468013</v>
      </c>
      <c r="F8" s="13">
        <v>2.5</v>
      </c>
      <c r="G8" s="6">
        <f>D8/F8</f>
        <v>2057.1999999999998</v>
      </c>
    </row>
    <row r="9" spans="2:8" ht="15" customHeight="1" x14ac:dyDescent="0.2">
      <c r="B9" s="5" t="s">
        <v>53</v>
      </c>
      <c r="C9" s="12">
        <v>0.25</v>
      </c>
      <c r="D9" s="6">
        <v>4286</v>
      </c>
      <c r="E9" s="6">
        <f>D9*91</f>
        <v>390026</v>
      </c>
      <c r="F9" s="13">
        <v>5</v>
      </c>
      <c r="G9" s="6">
        <f>D9/F9</f>
        <v>857.2</v>
      </c>
    </row>
    <row r="10" spans="2:8" ht="15" customHeight="1" x14ac:dyDescent="0.2">
      <c r="B10" s="5" t="s">
        <v>54</v>
      </c>
      <c r="C10" s="12">
        <v>0.05</v>
      </c>
      <c r="D10" s="6">
        <v>857</v>
      </c>
      <c r="E10" s="6">
        <f>D10*91</f>
        <v>77987</v>
      </c>
      <c r="F10" s="13">
        <v>1.5</v>
      </c>
      <c r="G10" s="6">
        <f>D10/F10</f>
        <v>571.33333333333337</v>
      </c>
    </row>
    <row r="11" spans="2:8" ht="15" customHeight="1" x14ac:dyDescent="0.2">
      <c r="B11" s="5" t="s">
        <v>55</v>
      </c>
      <c r="C11" s="12">
        <v>0.05</v>
      </c>
      <c r="D11" s="6">
        <v>857</v>
      </c>
      <c r="E11" s="6">
        <f>D11*91</f>
        <v>77987</v>
      </c>
      <c r="F11" s="13">
        <v>2.5</v>
      </c>
      <c r="G11" s="6">
        <f>D11/F11</f>
        <v>342.8</v>
      </c>
    </row>
    <row r="12" spans="2:8" ht="15" customHeight="1" x14ac:dyDescent="0.2">
      <c r="B12" s="14" t="s">
        <v>56</v>
      </c>
      <c r="C12" s="15">
        <f>SUM(C7:C11)</f>
        <v>1</v>
      </c>
      <c r="D12" s="16">
        <f>SUM(D7:D11)</f>
        <v>17143</v>
      </c>
      <c r="E12" s="16">
        <f>SUM(E7:E11)</f>
        <v>1560013</v>
      </c>
      <c r="F12" s="17" t="s">
        <v>23</v>
      </c>
      <c r="G12" s="16">
        <f>SUM(G7:G11)</f>
        <v>5542.8190476190475</v>
      </c>
    </row>
    <row r="14" spans="2:8" ht="15" customHeight="1" x14ac:dyDescent="0.2">
      <c r="B14" s="8" t="s">
        <v>57</v>
      </c>
    </row>
    <row r="15" spans="2:8" ht="15" customHeight="1" x14ac:dyDescent="0.2">
      <c r="B15" s="4" t="s">
        <v>58</v>
      </c>
      <c r="C15" s="4" t="s">
        <v>59</v>
      </c>
      <c r="D15" s="4" t="s">
        <v>60</v>
      </c>
      <c r="E15" s="4" t="s">
        <v>61</v>
      </c>
      <c r="F15" s="4" t="s">
        <v>62</v>
      </c>
      <c r="G15" s="18"/>
    </row>
    <row r="16" spans="2:8" ht="15" customHeight="1" x14ac:dyDescent="0.2">
      <c r="B16" s="5" t="s">
        <v>63</v>
      </c>
      <c r="C16" s="7" t="s">
        <v>23</v>
      </c>
      <c r="D16" s="6">
        <v>5542</v>
      </c>
      <c r="E16" s="19">
        <f>D16/D16</f>
        <v>1</v>
      </c>
      <c r="F16" s="5" t="s">
        <v>64</v>
      </c>
    </row>
    <row r="17" spans="2:8" ht="15" customHeight="1" x14ac:dyDescent="0.2">
      <c r="B17" s="5" t="s">
        <v>65</v>
      </c>
      <c r="C17" s="12">
        <v>0.3</v>
      </c>
      <c r="D17" s="6">
        <v>1663</v>
      </c>
      <c r="E17" s="19">
        <f>D17/D16</f>
        <v>0.30007217610970771</v>
      </c>
      <c r="F17" s="5" t="s">
        <v>66</v>
      </c>
    </row>
    <row r="18" spans="2:8" ht="15" customHeight="1" x14ac:dyDescent="0.2">
      <c r="B18" s="5" t="s">
        <v>67</v>
      </c>
      <c r="C18" s="12">
        <v>0.6</v>
      </c>
      <c r="D18" s="6">
        <v>998</v>
      </c>
      <c r="E18" s="19">
        <f>D18/D16</f>
        <v>0.18007939372067847</v>
      </c>
      <c r="F18" s="5" t="s">
        <v>68</v>
      </c>
    </row>
    <row r="19" spans="2:8" ht="15" customHeight="1" x14ac:dyDescent="0.2">
      <c r="B19" s="5" t="s">
        <v>69</v>
      </c>
      <c r="C19" s="12">
        <v>0.5</v>
      </c>
      <c r="D19" s="6">
        <v>499</v>
      </c>
      <c r="E19" s="19">
        <f>D19/D16</f>
        <v>9.0039696860339233E-2</v>
      </c>
      <c r="F19" s="5" t="s">
        <v>70</v>
      </c>
    </row>
    <row r="20" spans="2:8" ht="15" customHeight="1" x14ac:dyDescent="0.2">
      <c r="B20" s="5" t="s">
        <v>71</v>
      </c>
      <c r="C20" s="12">
        <v>0.4</v>
      </c>
      <c r="D20" s="6">
        <v>200</v>
      </c>
      <c r="E20" s="19">
        <f>D20/D16</f>
        <v>3.6088054853843379E-2</v>
      </c>
      <c r="F20" s="5" t="s">
        <v>72</v>
      </c>
    </row>
    <row r="21" spans="2:8" ht="15" customHeight="1" x14ac:dyDescent="0.2">
      <c r="B21" s="5" t="s">
        <v>73</v>
      </c>
      <c r="C21" s="12">
        <v>0.08</v>
      </c>
      <c r="D21" s="6">
        <v>16</v>
      </c>
      <c r="E21" s="19">
        <f>D21/D16</f>
        <v>2.88704438830747E-3</v>
      </c>
      <c r="F21" s="5" t="s">
        <v>74</v>
      </c>
    </row>
    <row r="24" spans="2:8" ht="15" customHeight="1" x14ac:dyDescent="0.2">
      <c r="B24" s="8" t="s">
        <v>75</v>
      </c>
    </row>
    <row r="25" spans="2:8" ht="15" customHeight="1" x14ac:dyDescent="0.2">
      <c r="B25" s="4" t="s">
        <v>76</v>
      </c>
      <c r="C25" s="4" t="s">
        <v>77</v>
      </c>
      <c r="D25" s="4" t="s">
        <v>78</v>
      </c>
      <c r="E25" s="4" t="s">
        <v>79</v>
      </c>
      <c r="F25" s="4" t="s">
        <v>80</v>
      </c>
      <c r="G25" s="4" t="s">
        <v>81</v>
      </c>
      <c r="H25" s="4" t="s">
        <v>82</v>
      </c>
    </row>
    <row r="26" spans="2:8" ht="15" customHeight="1" x14ac:dyDescent="0.2">
      <c r="B26" s="5" t="s">
        <v>83</v>
      </c>
      <c r="C26" s="6">
        <v>6</v>
      </c>
      <c r="D26" s="6">
        <v>2500</v>
      </c>
      <c r="E26" s="6">
        <f t="shared" ref="E26:E31" si="0">C26*D26</f>
        <v>15000</v>
      </c>
      <c r="F26" s="6">
        <v>0</v>
      </c>
      <c r="G26" s="6">
        <v>0</v>
      </c>
      <c r="H26" s="6">
        <f t="shared" ref="H26:H31" si="1">E26+G26</f>
        <v>15000</v>
      </c>
    </row>
    <row r="27" spans="2:8" ht="15" customHeight="1" x14ac:dyDescent="0.2">
      <c r="B27" s="5" t="s">
        <v>84</v>
      </c>
      <c r="C27" s="6">
        <v>1</v>
      </c>
      <c r="D27" s="6">
        <v>13000</v>
      </c>
      <c r="E27" s="6">
        <f t="shared" si="0"/>
        <v>13000</v>
      </c>
      <c r="F27" s="6">
        <v>0</v>
      </c>
      <c r="G27" s="6">
        <v>0</v>
      </c>
      <c r="H27" s="6">
        <f t="shared" si="1"/>
        <v>13000</v>
      </c>
    </row>
    <row r="28" spans="2:8" ht="15" customHeight="1" x14ac:dyDescent="0.2">
      <c r="B28" s="5" t="s">
        <v>85</v>
      </c>
      <c r="C28" s="6">
        <v>2</v>
      </c>
      <c r="D28" s="6">
        <v>29700</v>
      </c>
      <c r="E28" s="6">
        <f t="shared" si="0"/>
        <v>59400</v>
      </c>
      <c r="F28" s="6">
        <v>0</v>
      </c>
      <c r="G28" s="6">
        <v>0</v>
      </c>
      <c r="H28" s="6">
        <f t="shared" si="1"/>
        <v>59400</v>
      </c>
    </row>
    <row r="29" spans="2:8" ht="15" customHeight="1" x14ac:dyDescent="0.2">
      <c r="B29" s="5" t="s">
        <v>86</v>
      </c>
      <c r="C29" s="6">
        <v>4</v>
      </c>
      <c r="D29" s="6">
        <v>3500</v>
      </c>
      <c r="E29" s="6">
        <f t="shared" si="0"/>
        <v>14000</v>
      </c>
      <c r="F29" s="6">
        <v>0</v>
      </c>
      <c r="G29" s="6">
        <v>0</v>
      </c>
      <c r="H29" s="6">
        <f t="shared" si="1"/>
        <v>14000</v>
      </c>
    </row>
    <row r="30" spans="2:8" ht="15" customHeight="1" x14ac:dyDescent="0.2">
      <c r="B30" s="5" t="s">
        <v>87</v>
      </c>
      <c r="C30" s="6">
        <v>2</v>
      </c>
      <c r="D30" s="6">
        <v>1500</v>
      </c>
      <c r="E30" s="6">
        <f t="shared" si="0"/>
        <v>3000</v>
      </c>
      <c r="F30" s="6">
        <v>0</v>
      </c>
      <c r="G30" s="6">
        <v>0</v>
      </c>
      <c r="H30" s="6">
        <f t="shared" si="1"/>
        <v>3000</v>
      </c>
    </row>
    <row r="31" spans="2:8" ht="15" customHeight="1" x14ac:dyDescent="0.2">
      <c r="B31" s="5" t="s">
        <v>88</v>
      </c>
      <c r="C31" s="6">
        <v>1</v>
      </c>
      <c r="D31" s="6">
        <v>6500</v>
      </c>
      <c r="E31" s="6">
        <f t="shared" si="0"/>
        <v>6500</v>
      </c>
      <c r="F31" s="6">
        <v>0</v>
      </c>
      <c r="G31" s="6">
        <v>0</v>
      </c>
      <c r="H31" s="6">
        <f t="shared" si="1"/>
        <v>6500</v>
      </c>
    </row>
    <row r="32" spans="2:8" ht="15" customHeight="1" x14ac:dyDescent="0.2">
      <c r="B32" s="14" t="s">
        <v>89</v>
      </c>
      <c r="C32" s="16">
        <f>SUM(C26:C31)</f>
        <v>16</v>
      </c>
      <c r="D32" s="17" t="s">
        <v>23</v>
      </c>
      <c r="E32" s="16">
        <f>SUM(E26:E31)</f>
        <v>110900</v>
      </c>
      <c r="F32" s="16">
        <f>SUM(F26:F31)</f>
        <v>0</v>
      </c>
      <c r="G32" s="16">
        <f>SUM(G26:G31)</f>
        <v>0</v>
      </c>
      <c r="H32" s="16">
        <f>SUM(H26:H31)</f>
        <v>110900</v>
      </c>
    </row>
    <row r="33" spans="2:8" ht="15" customHeight="1" x14ac:dyDescent="0.2">
      <c r="B33" s="14" t="s">
        <v>90</v>
      </c>
      <c r="C33" s="17" t="s">
        <v>23</v>
      </c>
      <c r="D33" s="17" t="s">
        <v>23</v>
      </c>
      <c r="E33" s="17" t="s">
        <v>23</v>
      </c>
      <c r="F33" s="17" t="s">
        <v>23</v>
      </c>
      <c r="G33" s="17" t="s">
        <v>23</v>
      </c>
      <c r="H33" s="16">
        <f>H32*91</f>
        <v>10091900</v>
      </c>
    </row>
    <row r="35" spans="2:8" ht="15" customHeight="1" x14ac:dyDescent="0.2">
      <c r="B35" s="8" t="s">
        <v>91</v>
      </c>
    </row>
    <row r="36" spans="2:8" ht="15" customHeight="1" x14ac:dyDescent="0.2">
      <c r="B36" s="4" t="s">
        <v>92</v>
      </c>
      <c r="C36" s="4" t="s">
        <v>93</v>
      </c>
      <c r="D36" s="4" t="s">
        <v>94</v>
      </c>
      <c r="E36" s="4" t="s">
        <v>95</v>
      </c>
      <c r="F36" s="4" t="s">
        <v>96</v>
      </c>
      <c r="G36" s="4" t="s">
        <v>97</v>
      </c>
    </row>
    <row r="37" spans="2:8" ht="15" customHeight="1" x14ac:dyDescent="0.2">
      <c r="B37" s="5" t="s">
        <v>98</v>
      </c>
      <c r="C37" s="6">
        <v>1417</v>
      </c>
      <c r="D37" s="6">
        <f>C37*12</f>
        <v>17004</v>
      </c>
      <c r="E37" s="6">
        <f t="shared" ref="E37:F40" si="2">C37*91</f>
        <v>128947</v>
      </c>
      <c r="F37" s="6">
        <f t="shared" si="2"/>
        <v>1547364</v>
      </c>
      <c r="G37" s="5" t="s">
        <v>99</v>
      </c>
    </row>
    <row r="38" spans="2:8" ht="15" customHeight="1" x14ac:dyDescent="0.2">
      <c r="B38" s="5" t="s">
        <v>100</v>
      </c>
      <c r="C38" s="6">
        <v>110</v>
      </c>
      <c r="D38" s="6">
        <f>C38*12</f>
        <v>1320</v>
      </c>
      <c r="E38" s="6">
        <f t="shared" si="2"/>
        <v>10010</v>
      </c>
      <c r="F38" s="6">
        <f t="shared" si="2"/>
        <v>120120</v>
      </c>
      <c r="G38" s="5" t="s">
        <v>101</v>
      </c>
    </row>
    <row r="39" spans="2:8" ht="15" customHeight="1" x14ac:dyDescent="0.2">
      <c r="B39" s="5" t="s">
        <v>102</v>
      </c>
      <c r="C39" s="6">
        <v>330</v>
      </c>
      <c r="D39" s="6">
        <f>C39*12</f>
        <v>3960</v>
      </c>
      <c r="E39" s="6">
        <f t="shared" si="2"/>
        <v>30030</v>
      </c>
      <c r="F39" s="6">
        <f t="shared" si="2"/>
        <v>360360</v>
      </c>
      <c r="G39" s="5" t="s">
        <v>103</v>
      </c>
    </row>
    <row r="40" spans="2:8" ht="15" customHeight="1" x14ac:dyDescent="0.2">
      <c r="B40" s="5" t="s">
        <v>104</v>
      </c>
      <c r="C40" s="6">
        <v>165</v>
      </c>
      <c r="D40" s="6">
        <f>C40*12</f>
        <v>1980</v>
      </c>
      <c r="E40" s="6">
        <f t="shared" si="2"/>
        <v>15015</v>
      </c>
      <c r="F40" s="6">
        <f t="shared" si="2"/>
        <v>180180</v>
      </c>
      <c r="G40" s="5" t="s">
        <v>105</v>
      </c>
    </row>
    <row r="41" spans="2:8" ht="15" customHeight="1" x14ac:dyDescent="0.2">
      <c r="B41" s="14" t="s">
        <v>106</v>
      </c>
      <c r="C41" s="16">
        <f>SUM(C37:C40)</f>
        <v>2022</v>
      </c>
      <c r="D41" s="16">
        <f>SUM(D37:D40)</f>
        <v>24264</v>
      </c>
      <c r="E41" s="16">
        <f>SUM(E37:E40)</f>
        <v>184002</v>
      </c>
      <c r="F41" s="16">
        <f>SUM(F37:F40)</f>
        <v>2208024</v>
      </c>
      <c r="G41" s="17" t="s">
        <v>23</v>
      </c>
    </row>
    <row r="43" spans="2:8" ht="15" customHeight="1" x14ac:dyDescent="0.2">
      <c r="B43" s="8" t="s">
        <v>28</v>
      </c>
    </row>
    <row r="44" spans="2:8" ht="15" customHeight="1" x14ac:dyDescent="0.2">
      <c r="B44" s="9" t="s">
        <v>29</v>
      </c>
      <c r="C44" s="10">
        <v>17000</v>
      </c>
    </row>
    <row r="45" spans="2:8" ht="15" customHeight="1" x14ac:dyDescent="0.2">
      <c r="B45" s="9" t="s">
        <v>30</v>
      </c>
      <c r="C45" s="10">
        <v>1547000</v>
      </c>
    </row>
    <row r="46" spans="2:8" ht="15" customHeight="1" x14ac:dyDescent="0.2">
      <c r="B46" s="9" t="s">
        <v>107</v>
      </c>
      <c r="C46" s="10">
        <v>5497</v>
      </c>
    </row>
    <row r="47" spans="2:8" ht="15" customHeight="1" x14ac:dyDescent="0.2">
      <c r="B47" s="9" t="s">
        <v>32</v>
      </c>
      <c r="C47" s="11">
        <v>3.09</v>
      </c>
    </row>
    <row r="48" spans="2:8" ht="15" customHeight="1" x14ac:dyDescent="0.2">
      <c r="B48" s="9" t="s">
        <v>108</v>
      </c>
      <c r="C48" s="10">
        <v>1063</v>
      </c>
    </row>
    <row r="49" spans="2:3" ht="15" customHeight="1" x14ac:dyDescent="0.2">
      <c r="B49" s="9" t="s">
        <v>109</v>
      </c>
      <c r="C49" s="10">
        <v>96733</v>
      </c>
    </row>
    <row r="50" spans="2:3" ht="15" customHeight="1" x14ac:dyDescent="0.2">
      <c r="B50" s="9" t="s">
        <v>110</v>
      </c>
      <c r="C50" s="11" t="s">
        <v>41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2A4A"/>
  </sheetPr>
  <dimension ref="B2:H22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26" customWidth="1"/>
    <col min="3" max="8" width="16" customWidth="1"/>
  </cols>
  <sheetData>
    <row r="2" spans="2:8" ht="17.25" customHeight="1" x14ac:dyDescent="0.2">
      <c r="B2" s="3" t="s">
        <v>111</v>
      </c>
      <c r="C2" s="3"/>
      <c r="D2" s="3"/>
      <c r="E2" s="3"/>
      <c r="F2" s="3"/>
      <c r="G2" s="3"/>
      <c r="H2" s="3"/>
    </row>
    <row r="3" spans="2:8" ht="15" customHeight="1" x14ac:dyDescent="0.2">
      <c r="B3" s="2" t="s">
        <v>112</v>
      </c>
      <c r="C3" s="2"/>
      <c r="D3" s="2"/>
      <c r="E3" s="2"/>
      <c r="F3" s="2"/>
      <c r="G3" s="2"/>
      <c r="H3" s="2"/>
    </row>
    <row r="5" spans="2:8" ht="15" customHeight="1" x14ac:dyDescent="0.2">
      <c r="B5" s="8" t="s">
        <v>113</v>
      </c>
    </row>
    <row r="6" spans="2:8" ht="15" customHeight="1" x14ac:dyDescent="0.2">
      <c r="B6" s="4" t="s">
        <v>114</v>
      </c>
      <c r="C6" s="4" t="s">
        <v>115</v>
      </c>
      <c r="D6" s="4" t="s">
        <v>116</v>
      </c>
      <c r="E6" s="4" t="s">
        <v>97</v>
      </c>
      <c r="F6" s="18"/>
    </row>
    <row r="7" spans="2:8" ht="15" customHeight="1" x14ac:dyDescent="0.2">
      <c r="B7" s="5" t="s">
        <v>117</v>
      </c>
      <c r="C7" s="20">
        <v>31200</v>
      </c>
      <c r="D7" s="20">
        <v>2839200</v>
      </c>
      <c r="E7" s="5" t="s">
        <v>118</v>
      </c>
    </row>
    <row r="8" spans="2:8" ht="15" customHeight="1" x14ac:dyDescent="0.2">
      <c r="B8" s="5" t="s">
        <v>119</v>
      </c>
      <c r="C8" s="20">
        <v>1950</v>
      </c>
      <c r="D8" s="20">
        <v>177450</v>
      </c>
      <c r="E8" s="5" t="s">
        <v>120</v>
      </c>
    </row>
    <row r="9" spans="2:8" ht="15" customHeight="1" x14ac:dyDescent="0.2">
      <c r="B9" s="5" t="s">
        <v>35</v>
      </c>
      <c r="C9" s="7" t="s">
        <v>23</v>
      </c>
      <c r="D9" s="7" t="s">
        <v>23</v>
      </c>
      <c r="E9" s="5" t="s">
        <v>121</v>
      </c>
    </row>
    <row r="10" spans="2:8" ht="15" customHeight="1" x14ac:dyDescent="0.2">
      <c r="B10" s="5" t="s">
        <v>19</v>
      </c>
      <c r="C10" s="20">
        <v>26825</v>
      </c>
      <c r="D10" s="20">
        <v>2441075</v>
      </c>
      <c r="E10" s="5" t="s">
        <v>122</v>
      </c>
    </row>
    <row r="11" spans="2:8" ht="15" customHeight="1" x14ac:dyDescent="0.2">
      <c r="B11" s="5" t="s">
        <v>123</v>
      </c>
      <c r="C11" s="20">
        <v>58025</v>
      </c>
      <c r="D11" s="20">
        <v>5280275</v>
      </c>
      <c r="E11" s="5" t="s">
        <v>124</v>
      </c>
    </row>
    <row r="12" spans="2:8" ht="15" customHeight="1" x14ac:dyDescent="0.2">
      <c r="B12" s="5" t="s">
        <v>125</v>
      </c>
      <c r="C12" s="20">
        <v>-52875</v>
      </c>
      <c r="D12" s="20">
        <v>-4811625</v>
      </c>
      <c r="E12" s="5" t="s">
        <v>126</v>
      </c>
    </row>
    <row r="13" spans="2:8" ht="15" customHeight="1" x14ac:dyDescent="0.2">
      <c r="B13" s="5" t="s">
        <v>127</v>
      </c>
      <c r="C13" s="20">
        <v>110900</v>
      </c>
      <c r="D13" s="20">
        <v>10091900</v>
      </c>
      <c r="E13" s="5" t="s">
        <v>128</v>
      </c>
    </row>
    <row r="16" spans="2:8" ht="15" customHeight="1" x14ac:dyDescent="0.2">
      <c r="B16" s="8" t="s">
        <v>129</v>
      </c>
    </row>
    <row r="17" spans="2:6" ht="15" customHeight="1" x14ac:dyDescent="0.2">
      <c r="B17" s="4" t="s">
        <v>130</v>
      </c>
      <c r="C17" s="4" t="s">
        <v>131</v>
      </c>
      <c r="D17" s="4" t="s">
        <v>132</v>
      </c>
      <c r="E17" s="4" t="s">
        <v>133</v>
      </c>
      <c r="F17" s="4" t="s">
        <v>97</v>
      </c>
    </row>
    <row r="18" spans="2:6" ht="15" customHeight="1" x14ac:dyDescent="0.2">
      <c r="B18" s="5" t="s">
        <v>127</v>
      </c>
      <c r="C18" s="20">
        <v>110900</v>
      </c>
      <c r="D18" s="21">
        <v>1</v>
      </c>
      <c r="E18" s="20">
        <f>C18*91</f>
        <v>10091900</v>
      </c>
      <c r="F18" s="5" t="s">
        <v>134</v>
      </c>
    </row>
    <row r="19" spans="2:6" ht="15" customHeight="1" x14ac:dyDescent="0.2">
      <c r="B19" s="5" t="s">
        <v>135</v>
      </c>
      <c r="C19" s="20">
        <v>-52875</v>
      </c>
      <c r="D19" s="21">
        <v>-0.47699999999999998</v>
      </c>
      <c r="E19" s="20">
        <f>C19*91</f>
        <v>-4811625</v>
      </c>
      <c r="F19" s="5" t="s">
        <v>136</v>
      </c>
    </row>
    <row r="20" spans="2:6" ht="15" customHeight="1" x14ac:dyDescent="0.2">
      <c r="B20" s="5" t="s">
        <v>137</v>
      </c>
      <c r="C20" s="20">
        <v>58025</v>
      </c>
      <c r="D20" s="21">
        <v>0.52300000000000002</v>
      </c>
      <c r="E20" s="20">
        <f>C20*91</f>
        <v>5280275</v>
      </c>
      <c r="F20" s="5" t="s">
        <v>138</v>
      </c>
    </row>
    <row r="21" spans="2:6" ht="15" customHeight="1" x14ac:dyDescent="0.2">
      <c r="B21" s="5" t="s">
        <v>139</v>
      </c>
      <c r="C21" s="20">
        <v>-31200</v>
      </c>
      <c r="D21" s="21">
        <v>-0.28100000000000003</v>
      </c>
      <c r="E21" s="20">
        <f>C21*91</f>
        <v>-2839200</v>
      </c>
      <c r="F21" s="5" t="s">
        <v>140</v>
      </c>
    </row>
    <row r="22" spans="2:6" ht="15" customHeight="1" x14ac:dyDescent="0.2">
      <c r="B22" s="5" t="s">
        <v>19</v>
      </c>
      <c r="C22" s="20">
        <v>26825</v>
      </c>
      <c r="D22" s="21">
        <v>0.24199999999999999</v>
      </c>
      <c r="E22" s="20">
        <f>C22*91</f>
        <v>2441075</v>
      </c>
      <c r="F22" s="5" t="s">
        <v>20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2A4A"/>
  </sheetPr>
  <dimension ref="B2:I59"/>
  <sheetViews>
    <sheetView showGridLines="0" zoomScaleNormal="100" workbookViewId="0">
      <selection activeCell="F6" sqref="F6"/>
    </sheetView>
  </sheetViews>
  <sheetFormatPr baseColWidth="10" defaultColWidth="8.6640625" defaultRowHeight="15" x14ac:dyDescent="0.2"/>
  <cols>
    <col min="1" max="1" width="3" customWidth="1"/>
    <col min="2" max="2" width="26" customWidth="1"/>
    <col min="3" max="5" width="14" customWidth="1"/>
    <col min="6" max="6" width="12" customWidth="1"/>
    <col min="7" max="9" width="14" customWidth="1"/>
  </cols>
  <sheetData>
    <row r="2" spans="2:8" ht="17.25" customHeight="1" x14ac:dyDescent="0.2">
      <c r="B2" s="3" t="s">
        <v>141</v>
      </c>
      <c r="C2" s="3"/>
      <c r="D2" s="3"/>
      <c r="E2" s="3"/>
      <c r="F2" s="3"/>
      <c r="G2" s="3"/>
      <c r="H2" s="3"/>
    </row>
    <row r="3" spans="2:8" ht="15" customHeight="1" x14ac:dyDescent="0.2">
      <c r="B3" s="2" t="s">
        <v>142</v>
      </c>
      <c r="C3" s="2"/>
      <c r="D3" s="2"/>
      <c r="E3" s="2"/>
      <c r="F3" s="2"/>
      <c r="G3" s="2"/>
      <c r="H3" s="2"/>
    </row>
    <row r="5" spans="2:8" ht="15" customHeight="1" x14ac:dyDescent="0.2">
      <c r="B5" s="8" t="s">
        <v>143</v>
      </c>
    </row>
    <row r="6" spans="2:8" ht="15" customHeight="1" x14ac:dyDescent="0.2">
      <c r="B6" s="4" t="s">
        <v>144</v>
      </c>
      <c r="C6" s="4" t="s">
        <v>93</v>
      </c>
      <c r="D6" s="4" t="s">
        <v>46</v>
      </c>
      <c r="E6" s="4" t="s">
        <v>145</v>
      </c>
      <c r="F6" s="29" t="s">
        <v>146</v>
      </c>
      <c r="G6" s="18"/>
      <c r="H6" s="4" t="s">
        <v>97</v>
      </c>
    </row>
    <row r="7" spans="2:8" ht="15" customHeight="1" x14ac:dyDescent="0.2">
      <c r="B7" s="5" t="s">
        <v>147</v>
      </c>
      <c r="C7" s="6">
        <v>1648</v>
      </c>
      <c r="D7" s="12">
        <v>1</v>
      </c>
      <c r="E7" s="6">
        <f t="shared" ref="E7:E13" si="0">C7*D7</f>
        <v>1648</v>
      </c>
      <c r="F7" s="6">
        <f t="shared" ref="F7:F13" si="1">E7*12</f>
        <v>19776</v>
      </c>
      <c r="G7" s="22"/>
      <c r="H7" s="5" t="s">
        <v>148</v>
      </c>
    </row>
    <row r="8" spans="2:8" ht="15" customHeight="1" x14ac:dyDescent="0.2">
      <c r="B8" s="5" t="s">
        <v>149</v>
      </c>
      <c r="C8" s="6">
        <v>330</v>
      </c>
      <c r="D8" s="12">
        <v>1</v>
      </c>
      <c r="E8" s="6">
        <f t="shared" si="0"/>
        <v>330</v>
      </c>
      <c r="F8" s="6">
        <f t="shared" si="1"/>
        <v>3960</v>
      </c>
      <c r="G8" s="22"/>
      <c r="H8" s="5" t="s">
        <v>150</v>
      </c>
    </row>
    <row r="9" spans="2:8" ht="15" customHeight="1" x14ac:dyDescent="0.2">
      <c r="B9" s="5" t="s">
        <v>151</v>
      </c>
      <c r="C9" s="6">
        <v>248</v>
      </c>
      <c r="D9" s="12">
        <v>0.5</v>
      </c>
      <c r="E9" s="6">
        <f t="shared" si="0"/>
        <v>124</v>
      </c>
      <c r="F9" s="6">
        <f t="shared" si="1"/>
        <v>1488</v>
      </c>
      <c r="G9" s="22"/>
      <c r="H9" s="5" t="s">
        <v>152</v>
      </c>
    </row>
    <row r="10" spans="2:8" ht="15" customHeight="1" x14ac:dyDescent="0.2">
      <c r="B10" s="5" t="s">
        <v>153</v>
      </c>
      <c r="C10" s="6">
        <v>220</v>
      </c>
      <c r="D10" s="12">
        <v>0.6</v>
      </c>
      <c r="E10" s="6">
        <f t="shared" si="0"/>
        <v>132</v>
      </c>
      <c r="F10" s="6">
        <f t="shared" si="1"/>
        <v>1584</v>
      </c>
      <c r="G10" s="22"/>
      <c r="H10" s="5" t="s">
        <v>154</v>
      </c>
    </row>
    <row r="11" spans="2:8" ht="15" customHeight="1" x14ac:dyDescent="0.2">
      <c r="B11" s="5" t="s">
        <v>155</v>
      </c>
      <c r="C11" s="6">
        <v>440</v>
      </c>
      <c r="D11" s="12">
        <v>0.4</v>
      </c>
      <c r="E11" s="6">
        <f t="shared" si="0"/>
        <v>176</v>
      </c>
      <c r="F11" s="6">
        <f t="shared" si="1"/>
        <v>2112</v>
      </c>
      <c r="G11" s="22"/>
      <c r="H11" s="5" t="s">
        <v>156</v>
      </c>
    </row>
    <row r="12" spans="2:8" ht="15" customHeight="1" x14ac:dyDescent="0.2">
      <c r="B12" s="5" t="s">
        <v>157</v>
      </c>
      <c r="C12" s="6">
        <v>154</v>
      </c>
      <c r="D12" s="12">
        <v>0.4</v>
      </c>
      <c r="E12" s="6">
        <f t="shared" si="0"/>
        <v>61.6</v>
      </c>
      <c r="F12" s="6">
        <f t="shared" si="1"/>
        <v>739.2</v>
      </c>
      <c r="G12" s="22"/>
      <c r="H12" s="5" t="s">
        <v>156</v>
      </c>
    </row>
    <row r="13" spans="2:8" ht="15" customHeight="1" x14ac:dyDescent="0.2">
      <c r="B13" s="5" t="s">
        <v>158</v>
      </c>
      <c r="C13" s="6">
        <v>220</v>
      </c>
      <c r="D13" s="12">
        <v>0</v>
      </c>
      <c r="E13" s="6">
        <f t="shared" si="0"/>
        <v>0</v>
      </c>
      <c r="F13" s="6">
        <f t="shared" si="1"/>
        <v>0</v>
      </c>
      <c r="G13" s="22"/>
      <c r="H13" s="5" t="s">
        <v>159</v>
      </c>
    </row>
    <row r="14" spans="2:8" ht="15" customHeight="1" x14ac:dyDescent="0.2">
      <c r="B14" s="14" t="s">
        <v>56</v>
      </c>
      <c r="C14" s="16">
        <f>SUM(C7:C13)</f>
        <v>3260</v>
      </c>
      <c r="D14" s="17" t="s">
        <v>23</v>
      </c>
      <c r="E14" s="16">
        <f>SUM(E7:E13)</f>
        <v>2471.6</v>
      </c>
      <c r="F14" s="16">
        <f>SUM(F7:F13)</f>
        <v>29659.200000000001</v>
      </c>
      <c r="G14" s="17"/>
      <c r="H14" s="17" t="s">
        <v>23</v>
      </c>
    </row>
    <row r="16" spans="2:8" ht="15" customHeight="1" x14ac:dyDescent="0.2">
      <c r="B16" s="8" t="s">
        <v>160</v>
      </c>
    </row>
    <row r="17" spans="2:8" ht="15" customHeight="1" x14ac:dyDescent="0.2">
      <c r="B17" s="9" t="s">
        <v>161</v>
      </c>
      <c r="C17" s="10">
        <v>31200</v>
      </c>
    </row>
    <row r="18" spans="2:8" ht="15" customHeight="1" x14ac:dyDescent="0.2">
      <c r="B18" s="9" t="s">
        <v>162</v>
      </c>
      <c r="C18" s="10">
        <v>23736</v>
      </c>
    </row>
    <row r="19" spans="2:8" ht="15" customHeight="1" x14ac:dyDescent="0.2">
      <c r="B19" s="9" t="s">
        <v>163</v>
      </c>
      <c r="C19" s="10">
        <v>7464</v>
      </c>
    </row>
    <row r="20" spans="2:8" ht="15" customHeight="1" x14ac:dyDescent="0.2">
      <c r="B20" s="9" t="s">
        <v>164</v>
      </c>
      <c r="C20" s="23">
        <v>54.94</v>
      </c>
    </row>
    <row r="21" spans="2:8" ht="15" customHeight="1" x14ac:dyDescent="0.2">
      <c r="B21" s="9" t="s">
        <v>165</v>
      </c>
      <c r="C21" s="23">
        <v>18.34</v>
      </c>
    </row>
    <row r="23" spans="2:8" ht="15" customHeight="1" x14ac:dyDescent="0.2">
      <c r="B23" s="8" t="s">
        <v>166</v>
      </c>
    </row>
    <row r="24" spans="2:8" ht="15" customHeight="1" x14ac:dyDescent="0.2">
      <c r="B24" s="4" t="s">
        <v>167</v>
      </c>
      <c r="C24" s="4" t="s">
        <v>168</v>
      </c>
      <c r="D24" s="4" t="s">
        <v>169</v>
      </c>
      <c r="E24" s="4" t="s">
        <v>170</v>
      </c>
      <c r="F24" s="4" t="s">
        <v>77</v>
      </c>
      <c r="G24" s="4" t="s">
        <v>171</v>
      </c>
      <c r="H24" s="4" t="s">
        <v>172</v>
      </c>
    </row>
    <row r="25" spans="2:8" ht="15" customHeight="1" x14ac:dyDescent="0.2">
      <c r="B25" s="5" t="s">
        <v>83</v>
      </c>
      <c r="C25" s="6">
        <v>916</v>
      </c>
      <c r="D25" s="6">
        <v>256</v>
      </c>
      <c r="E25" s="6">
        <f t="shared" ref="E25:E30" si="2">C25+D25</f>
        <v>1172</v>
      </c>
      <c r="F25" s="6">
        <v>6</v>
      </c>
      <c r="G25" s="6">
        <f t="shared" ref="G25:G30" si="3">E25*F25</f>
        <v>7032</v>
      </c>
      <c r="H25" s="7" t="s">
        <v>23</v>
      </c>
    </row>
    <row r="26" spans="2:8" ht="15" customHeight="1" x14ac:dyDescent="0.2">
      <c r="B26" s="5" t="s">
        <v>84</v>
      </c>
      <c r="C26" s="6">
        <v>2199</v>
      </c>
      <c r="D26" s="6">
        <v>825</v>
      </c>
      <c r="E26" s="6">
        <f t="shared" si="2"/>
        <v>3024</v>
      </c>
      <c r="F26" s="6">
        <v>1</v>
      </c>
      <c r="G26" s="6">
        <f t="shared" si="3"/>
        <v>3024</v>
      </c>
      <c r="H26" s="7" t="s">
        <v>23</v>
      </c>
    </row>
    <row r="27" spans="2:8" ht="15" customHeight="1" x14ac:dyDescent="0.2">
      <c r="B27" s="5" t="s">
        <v>85</v>
      </c>
      <c r="C27" s="6">
        <v>3665</v>
      </c>
      <c r="D27" s="6">
        <v>1375</v>
      </c>
      <c r="E27" s="6">
        <f t="shared" si="2"/>
        <v>5040</v>
      </c>
      <c r="F27" s="6">
        <v>2</v>
      </c>
      <c r="G27" s="6">
        <f t="shared" si="3"/>
        <v>10080</v>
      </c>
      <c r="H27" s="7" t="s">
        <v>23</v>
      </c>
    </row>
    <row r="28" spans="2:8" ht="15" customHeight="1" x14ac:dyDescent="0.2">
      <c r="B28" s="5" t="s">
        <v>86</v>
      </c>
      <c r="C28" s="6">
        <v>1374</v>
      </c>
      <c r="D28" s="6">
        <v>385</v>
      </c>
      <c r="E28" s="6">
        <f t="shared" si="2"/>
        <v>1759</v>
      </c>
      <c r="F28" s="6">
        <v>4</v>
      </c>
      <c r="G28" s="6">
        <f t="shared" si="3"/>
        <v>7036</v>
      </c>
      <c r="H28" s="7" t="s">
        <v>23</v>
      </c>
    </row>
    <row r="29" spans="2:8" ht="15" customHeight="1" x14ac:dyDescent="0.2">
      <c r="B29" s="5" t="s">
        <v>87</v>
      </c>
      <c r="C29" s="6">
        <v>687</v>
      </c>
      <c r="D29" s="6">
        <v>128</v>
      </c>
      <c r="E29" s="6">
        <f t="shared" si="2"/>
        <v>815</v>
      </c>
      <c r="F29" s="6">
        <v>2</v>
      </c>
      <c r="G29" s="6">
        <f t="shared" si="3"/>
        <v>1630</v>
      </c>
      <c r="H29" s="7" t="s">
        <v>23</v>
      </c>
    </row>
    <row r="30" spans="2:8" ht="15" customHeight="1" x14ac:dyDescent="0.2">
      <c r="B30" s="5" t="s">
        <v>88</v>
      </c>
      <c r="C30" s="6">
        <v>1832</v>
      </c>
      <c r="D30" s="6">
        <v>550</v>
      </c>
      <c r="E30" s="6">
        <f t="shared" si="2"/>
        <v>2382</v>
      </c>
      <c r="F30" s="6">
        <v>1</v>
      </c>
      <c r="G30" s="6">
        <f t="shared" si="3"/>
        <v>2382</v>
      </c>
      <c r="H30" s="7" t="s">
        <v>23</v>
      </c>
    </row>
    <row r="31" spans="2:8" ht="15" customHeight="1" x14ac:dyDescent="0.2">
      <c r="B31" s="14" t="s">
        <v>56</v>
      </c>
      <c r="C31" s="17" t="s">
        <v>23</v>
      </c>
      <c r="D31" s="17" t="s">
        <v>23</v>
      </c>
      <c r="E31" s="17" t="s">
        <v>23</v>
      </c>
      <c r="F31" s="16">
        <f>SUM(F25:F30)</f>
        <v>16</v>
      </c>
      <c r="G31" s="16">
        <f>SUM(G25:G30)</f>
        <v>31184</v>
      </c>
      <c r="H31" s="17" t="s">
        <v>23</v>
      </c>
    </row>
    <row r="33" spans="2:9" ht="15" customHeight="1" x14ac:dyDescent="0.2">
      <c r="B33" s="8" t="s">
        <v>173</v>
      </c>
    </row>
    <row r="34" spans="2:9" ht="15" customHeight="1" x14ac:dyDescent="0.2">
      <c r="B34" s="4" t="s">
        <v>167</v>
      </c>
      <c r="C34" s="4" t="s">
        <v>170</v>
      </c>
      <c r="D34" s="4" t="s">
        <v>174</v>
      </c>
      <c r="E34" s="4" t="s">
        <v>175</v>
      </c>
      <c r="F34" s="4" t="s">
        <v>137</v>
      </c>
      <c r="G34" s="4" t="s">
        <v>176</v>
      </c>
      <c r="H34" s="4" t="s">
        <v>172</v>
      </c>
      <c r="I34" s="18"/>
    </row>
    <row r="35" spans="2:9" ht="15" customHeight="1" x14ac:dyDescent="0.2">
      <c r="B35" s="5" t="s">
        <v>83</v>
      </c>
      <c r="C35" s="6">
        <v>1173</v>
      </c>
      <c r="D35" s="6">
        <v>2500</v>
      </c>
      <c r="E35" s="12">
        <v>0.47</v>
      </c>
      <c r="F35" s="6">
        <f t="shared" ref="F35:F40" si="4">D35*E35</f>
        <v>1175</v>
      </c>
      <c r="G35" s="20">
        <f t="shared" ref="G35:G40" si="5">F35-C35</f>
        <v>2</v>
      </c>
      <c r="H35" s="24">
        <f t="shared" ref="H35:H41" si="6">F35/C35</f>
        <v>1.0017050298380221</v>
      </c>
    </row>
    <row r="36" spans="2:9" ht="15" customHeight="1" x14ac:dyDescent="0.2">
      <c r="B36" s="5" t="s">
        <v>84</v>
      </c>
      <c r="C36" s="6">
        <v>3024</v>
      </c>
      <c r="D36" s="6">
        <v>13000</v>
      </c>
      <c r="E36" s="12">
        <v>0.55000000000000004</v>
      </c>
      <c r="F36" s="6">
        <f t="shared" si="4"/>
        <v>7150.0000000000009</v>
      </c>
      <c r="G36" s="20">
        <f t="shared" si="5"/>
        <v>4126.0000000000009</v>
      </c>
      <c r="H36" s="24">
        <f t="shared" si="6"/>
        <v>2.3644179894179898</v>
      </c>
    </row>
    <row r="37" spans="2:9" ht="15" customHeight="1" x14ac:dyDescent="0.2">
      <c r="B37" s="5" t="s">
        <v>85</v>
      </c>
      <c r="C37" s="6">
        <v>5041</v>
      </c>
      <c r="D37" s="6">
        <v>29700</v>
      </c>
      <c r="E37" s="12">
        <v>0.5</v>
      </c>
      <c r="F37" s="6">
        <f t="shared" si="4"/>
        <v>14850</v>
      </c>
      <c r="G37" s="20">
        <f t="shared" si="5"/>
        <v>9809</v>
      </c>
      <c r="H37" s="24">
        <f t="shared" si="6"/>
        <v>2.945844078555842</v>
      </c>
    </row>
    <row r="38" spans="2:9" ht="15" customHeight="1" x14ac:dyDescent="0.2">
      <c r="B38" s="5" t="s">
        <v>86</v>
      </c>
      <c r="C38" s="6">
        <v>1759</v>
      </c>
      <c r="D38" s="6">
        <v>3500</v>
      </c>
      <c r="E38" s="12">
        <v>0.6</v>
      </c>
      <c r="F38" s="6">
        <f t="shared" si="4"/>
        <v>2100</v>
      </c>
      <c r="G38" s="20">
        <f t="shared" si="5"/>
        <v>341</v>
      </c>
      <c r="H38" s="24">
        <f t="shared" si="6"/>
        <v>1.1938601478112565</v>
      </c>
    </row>
    <row r="39" spans="2:9" ht="15" customHeight="1" x14ac:dyDescent="0.2">
      <c r="B39" s="5" t="s">
        <v>87</v>
      </c>
      <c r="C39" s="6">
        <v>815</v>
      </c>
      <c r="D39" s="6">
        <v>1500</v>
      </c>
      <c r="E39" s="12">
        <v>0.5</v>
      </c>
      <c r="F39" s="6">
        <f t="shared" si="4"/>
        <v>750</v>
      </c>
      <c r="G39" s="20">
        <f t="shared" si="5"/>
        <v>-65</v>
      </c>
      <c r="H39" s="24">
        <f t="shared" si="6"/>
        <v>0.92024539877300615</v>
      </c>
    </row>
    <row r="40" spans="2:9" ht="15" customHeight="1" x14ac:dyDescent="0.2">
      <c r="B40" s="5" t="s">
        <v>88</v>
      </c>
      <c r="C40" s="6">
        <v>2383</v>
      </c>
      <c r="D40" s="6">
        <v>6500</v>
      </c>
      <c r="E40" s="12">
        <v>0.65</v>
      </c>
      <c r="F40" s="6">
        <f t="shared" si="4"/>
        <v>4225</v>
      </c>
      <c r="G40" s="20">
        <f t="shared" si="5"/>
        <v>1842</v>
      </c>
      <c r="H40" s="24">
        <f t="shared" si="6"/>
        <v>1.7729752412924884</v>
      </c>
    </row>
    <row r="41" spans="2:9" ht="15" customHeight="1" x14ac:dyDescent="0.2">
      <c r="B41" s="14" t="s">
        <v>177</v>
      </c>
      <c r="C41" s="16">
        <f>SUM(C35:C40)</f>
        <v>14195</v>
      </c>
      <c r="D41" s="16">
        <f>SUM(D35:D40)</f>
        <v>56700</v>
      </c>
      <c r="E41" s="17" t="s">
        <v>23</v>
      </c>
      <c r="F41" s="16">
        <f>SUM(F35:F40)</f>
        <v>30250</v>
      </c>
      <c r="G41" s="25">
        <f>SUM(G35:G40)</f>
        <v>16055</v>
      </c>
      <c r="H41" s="26">
        <f t="shared" si="6"/>
        <v>2.1310320535399789</v>
      </c>
    </row>
    <row r="43" spans="2:9" ht="15" customHeight="1" x14ac:dyDescent="0.2">
      <c r="B43" s="8" t="s">
        <v>178</v>
      </c>
    </row>
    <row r="44" spans="2:9" ht="15" customHeight="1" x14ac:dyDescent="0.2">
      <c r="B44" s="4" t="s">
        <v>167</v>
      </c>
      <c r="C44" s="4" t="s">
        <v>179</v>
      </c>
      <c r="D44" s="4" t="s">
        <v>180</v>
      </c>
      <c r="E44" s="4" t="s">
        <v>181</v>
      </c>
      <c r="F44" s="4" t="s">
        <v>182</v>
      </c>
      <c r="G44" s="18"/>
    </row>
    <row r="45" spans="2:9" ht="15" customHeight="1" x14ac:dyDescent="0.2">
      <c r="B45" s="5" t="s">
        <v>83</v>
      </c>
      <c r="C45" s="27">
        <v>0.06</v>
      </c>
      <c r="D45" s="28">
        <v>16.7</v>
      </c>
      <c r="E45" s="6">
        <v>14</v>
      </c>
      <c r="F45" s="5" t="s">
        <v>183</v>
      </c>
    </row>
    <row r="46" spans="2:9" ht="15" customHeight="1" x14ac:dyDescent="0.2">
      <c r="B46" s="5" t="s">
        <v>84</v>
      </c>
      <c r="C46" s="27">
        <v>2.5000000000000001E-2</v>
      </c>
      <c r="D46" s="28">
        <v>40</v>
      </c>
      <c r="E46" s="6">
        <v>45</v>
      </c>
      <c r="F46" s="5" t="s">
        <v>184</v>
      </c>
    </row>
    <row r="47" spans="2:9" ht="15" customHeight="1" x14ac:dyDescent="0.2">
      <c r="B47" s="5" t="s">
        <v>85</v>
      </c>
      <c r="C47" s="27">
        <v>1.4999999999999999E-2</v>
      </c>
      <c r="D47" s="28">
        <v>66.7</v>
      </c>
      <c r="E47" s="6">
        <v>75</v>
      </c>
      <c r="F47" s="5" t="s">
        <v>185</v>
      </c>
    </row>
    <row r="48" spans="2:9" ht="15" customHeight="1" x14ac:dyDescent="0.2">
      <c r="B48" s="5" t="s">
        <v>86</v>
      </c>
      <c r="C48" s="27">
        <v>0.04</v>
      </c>
      <c r="D48" s="28">
        <v>25</v>
      </c>
      <c r="E48" s="6">
        <v>21</v>
      </c>
      <c r="F48" s="5" t="s">
        <v>186</v>
      </c>
    </row>
    <row r="49" spans="2:6" ht="15" customHeight="1" x14ac:dyDescent="0.2">
      <c r="B49" s="5" t="s">
        <v>87</v>
      </c>
      <c r="C49" s="27">
        <v>0.08</v>
      </c>
      <c r="D49" s="28">
        <v>12.5</v>
      </c>
      <c r="E49" s="6">
        <v>7</v>
      </c>
      <c r="F49" s="5" t="s">
        <v>187</v>
      </c>
    </row>
    <row r="50" spans="2:6" ht="15" customHeight="1" x14ac:dyDescent="0.2">
      <c r="B50" s="5" t="s">
        <v>88</v>
      </c>
      <c r="C50" s="27">
        <v>0.03</v>
      </c>
      <c r="D50" s="28">
        <v>33.299999999999997</v>
      </c>
      <c r="E50" s="6">
        <v>30</v>
      </c>
      <c r="F50" s="5" t="s">
        <v>188</v>
      </c>
    </row>
    <row r="52" spans="2:6" ht="15" customHeight="1" x14ac:dyDescent="0.2">
      <c r="B52" s="8" t="s">
        <v>189</v>
      </c>
    </row>
    <row r="53" spans="2:6" ht="15" customHeight="1" x14ac:dyDescent="0.2">
      <c r="B53" s="4" t="s">
        <v>167</v>
      </c>
      <c r="C53" s="4" t="s">
        <v>190</v>
      </c>
      <c r="D53" s="4" t="s">
        <v>191</v>
      </c>
      <c r="E53" s="4" t="s">
        <v>172</v>
      </c>
      <c r="F53" s="18"/>
    </row>
    <row r="54" spans="2:6" ht="15" customHeight="1" x14ac:dyDescent="0.2">
      <c r="B54" s="5" t="s">
        <v>83</v>
      </c>
      <c r="C54" s="12">
        <v>0.47</v>
      </c>
      <c r="D54" s="13">
        <v>2.13</v>
      </c>
      <c r="E54" s="7" t="s">
        <v>192</v>
      </c>
    </row>
    <row r="55" spans="2:6" ht="15" customHeight="1" x14ac:dyDescent="0.2">
      <c r="B55" s="5" t="s">
        <v>84</v>
      </c>
      <c r="C55" s="12">
        <v>0.55000000000000004</v>
      </c>
      <c r="D55" s="13">
        <v>4.3</v>
      </c>
      <c r="E55" s="7" t="s">
        <v>193</v>
      </c>
    </row>
    <row r="56" spans="2:6" ht="15" customHeight="1" x14ac:dyDescent="0.2">
      <c r="B56" s="5" t="s">
        <v>85</v>
      </c>
      <c r="C56" s="12">
        <v>0.5</v>
      </c>
      <c r="D56" s="13">
        <v>5.89</v>
      </c>
      <c r="E56" s="7" t="s">
        <v>194</v>
      </c>
    </row>
    <row r="57" spans="2:6" ht="15" customHeight="1" x14ac:dyDescent="0.2">
      <c r="B57" s="5" t="s">
        <v>86</v>
      </c>
      <c r="C57" s="12">
        <v>0.6</v>
      </c>
      <c r="D57" s="13">
        <v>1.99</v>
      </c>
      <c r="E57" s="7" t="s">
        <v>195</v>
      </c>
    </row>
    <row r="58" spans="2:6" ht="15" customHeight="1" x14ac:dyDescent="0.2">
      <c r="B58" s="5" t="s">
        <v>87</v>
      </c>
      <c r="C58" s="12">
        <v>0.5</v>
      </c>
      <c r="D58" s="13">
        <v>1.84</v>
      </c>
      <c r="E58" s="7" t="s">
        <v>196</v>
      </c>
    </row>
    <row r="59" spans="2:6" ht="15" customHeight="1" x14ac:dyDescent="0.2">
      <c r="B59" s="5" t="s">
        <v>88</v>
      </c>
      <c r="C59" s="12">
        <v>0.65</v>
      </c>
      <c r="D59" s="13">
        <v>2.73</v>
      </c>
      <c r="E59" s="7" t="s">
        <v>197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2A4A"/>
  </sheetPr>
  <dimension ref="B2:H41"/>
  <sheetViews>
    <sheetView showGridLines="0" zoomScaleNormal="100" workbookViewId="0">
      <selection activeCell="U31" sqref="U31"/>
    </sheetView>
  </sheetViews>
  <sheetFormatPr baseColWidth="10" defaultColWidth="8.6640625" defaultRowHeight="15" x14ac:dyDescent="0.2"/>
  <cols>
    <col min="1" max="1" width="3" customWidth="1"/>
    <col min="2" max="2" width="26" customWidth="1"/>
    <col min="3" max="8" width="14" customWidth="1"/>
  </cols>
  <sheetData>
    <row r="2" spans="2:8" ht="17.25" customHeight="1" x14ac:dyDescent="0.2">
      <c r="B2" s="3" t="s">
        <v>198</v>
      </c>
      <c r="C2" s="3"/>
      <c r="D2" s="3"/>
      <c r="E2" s="3"/>
      <c r="F2" s="3"/>
      <c r="G2" s="3"/>
      <c r="H2" s="3"/>
    </row>
    <row r="3" spans="2:8" ht="15" customHeight="1" x14ac:dyDescent="0.2">
      <c r="B3" s="2" t="s">
        <v>199</v>
      </c>
      <c r="C3" s="2"/>
      <c r="D3" s="2"/>
      <c r="E3" s="2"/>
      <c r="F3" s="2"/>
      <c r="G3" s="2"/>
      <c r="H3" s="2"/>
    </row>
    <row r="5" spans="2:8" ht="15" customHeight="1" x14ac:dyDescent="0.2">
      <c r="B5" s="8" t="s">
        <v>200</v>
      </c>
    </row>
    <row r="6" spans="2:8" ht="15" customHeight="1" x14ac:dyDescent="0.2">
      <c r="B6" s="4" t="s">
        <v>114</v>
      </c>
      <c r="C6" s="4" t="s">
        <v>201</v>
      </c>
      <c r="D6" s="4" t="s">
        <v>202</v>
      </c>
      <c r="E6" s="4" t="s">
        <v>97</v>
      </c>
      <c r="F6" s="18"/>
    </row>
    <row r="7" spans="2:8" ht="15" customHeight="1" x14ac:dyDescent="0.2">
      <c r="B7" s="5" t="s">
        <v>127</v>
      </c>
      <c r="C7" s="6">
        <v>110900</v>
      </c>
      <c r="D7" s="6">
        <v>10091900</v>
      </c>
      <c r="E7" s="5" t="s">
        <v>203</v>
      </c>
    </row>
    <row r="8" spans="2:8" ht="15" customHeight="1" x14ac:dyDescent="0.2">
      <c r="B8" s="5" t="s">
        <v>204</v>
      </c>
      <c r="C8" s="7" t="s">
        <v>23</v>
      </c>
      <c r="D8" s="7" t="s">
        <v>23</v>
      </c>
      <c r="E8" s="5" t="s">
        <v>205</v>
      </c>
    </row>
    <row r="9" spans="2:8" ht="15" customHeight="1" x14ac:dyDescent="0.2">
      <c r="B9" s="5" t="s">
        <v>123</v>
      </c>
      <c r="C9" s="6">
        <v>58025</v>
      </c>
      <c r="D9" s="6">
        <v>5280275</v>
      </c>
      <c r="E9" s="5" t="s">
        <v>206</v>
      </c>
    </row>
    <row r="10" spans="2:8" ht="15" customHeight="1" x14ac:dyDescent="0.2">
      <c r="B10" s="5" t="s">
        <v>117</v>
      </c>
      <c r="C10" s="6">
        <v>31200</v>
      </c>
      <c r="D10" s="6">
        <v>2839200</v>
      </c>
      <c r="E10" s="5" t="s">
        <v>207</v>
      </c>
    </row>
    <row r="11" spans="2:8" ht="15" customHeight="1" x14ac:dyDescent="0.2">
      <c r="B11" s="5" t="s">
        <v>19</v>
      </c>
      <c r="C11" s="6">
        <v>26825</v>
      </c>
      <c r="D11" s="6">
        <v>2441075</v>
      </c>
      <c r="E11" s="5" t="s">
        <v>20</v>
      </c>
    </row>
    <row r="12" spans="2:8" ht="15" customHeight="1" x14ac:dyDescent="0.2">
      <c r="B12" s="5" t="s">
        <v>208</v>
      </c>
      <c r="C12" s="7" t="s">
        <v>23</v>
      </c>
      <c r="D12" s="7" t="s">
        <v>23</v>
      </c>
      <c r="E12" s="5" t="s">
        <v>209</v>
      </c>
    </row>
    <row r="13" spans="2:8" ht="15" customHeight="1" x14ac:dyDescent="0.2">
      <c r="B13" s="5" t="s">
        <v>210</v>
      </c>
      <c r="C13" s="7" t="s">
        <v>23</v>
      </c>
      <c r="D13" s="7" t="s">
        <v>23</v>
      </c>
      <c r="E13" s="5" t="s">
        <v>211</v>
      </c>
    </row>
    <row r="15" spans="2:8" ht="15" customHeight="1" x14ac:dyDescent="0.2">
      <c r="B15" s="8" t="s">
        <v>212</v>
      </c>
    </row>
    <row r="16" spans="2:8" ht="15" customHeight="1" x14ac:dyDescent="0.2">
      <c r="B16" s="4" t="s">
        <v>167</v>
      </c>
      <c r="C16" s="4" t="s">
        <v>170</v>
      </c>
      <c r="D16" s="4" t="s">
        <v>174</v>
      </c>
      <c r="E16" s="4" t="s">
        <v>175</v>
      </c>
      <c r="F16" s="4" t="s">
        <v>137</v>
      </c>
      <c r="G16" s="4" t="s">
        <v>176</v>
      </c>
      <c r="H16" s="4" t="s">
        <v>172</v>
      </c>
    </row>
    <row r="17" spans="2:8" ht="15" customHeight="1" x14ac:dyDescent="0.2">
      <c r="B17" s="5" t="s">
        <v>85</v>
      </c>
      <c r="C17" s="6">
        <v>10082</v>
      </c>
      <c r="D17" s="6">
        <v>59400</v>
      </c>
      <c r="E17" s="12">
        <v>0.5</v>
      </c>
      <c r="F17" s="6">
        <f t="shared" ref="F17:F22" si="0">D17*E17</f>
        <v>29700</v>
      </c>
      <c r="G17" s="20">
        <f t="shared" ref="G17:G22" si="1">F17-C17</f>
        <v>19618</v>
      </c>
      <c r="H17" s="24">
        <f t="shared" ref="H17:H22" si="2">F17/C17</f>
        <v>2.945844078555842</v>
      </c>
    </row>
    <row r="18" spans="2:8" ht="15" customHeight="1" x14ac:dyDescent="0.2">
      <c r="B18" s="5" t="s">
        <v>84</v>
      </c>
      <c r="C18" s="6">
        <v>3024</v>
      </c>
      <c r="D18" s="6">
        <v>13000</v>
      </c>
      <c r="E18" s="12">
        <v>0.55000000000000004</v>
      </c>
      <c r="F18" s="6">
        <f t="shared" si="0"/>
        <v>7150.0000000000009</v>
      </c>
      <c r="G18" s="20">
        <f t="shared" si="1"/>
        <v>4126.0000000000009</v>
      </c>
      <c r="H18" s="24">
        <f t="shared" si="2"/>
        <v>2.3644179894179898</v>
      </c>
    </row>
    <row r="19" spans="2:8" ht="15" customHeight="1" x14ac:dyDescent="0.2">
      <c r="B19" s="5" t="s">
        <v>88</v>
      </c>
      <c r="C19" s="6">
        <v>2383</v>
      </c>
      <c r="D19" s="6">
        <v>6500</v>
      </c>
      <c r="E19" s="12">
        <v>0.65</v>
      </c>
      <c r="F19" s="6">
        <f t="shared" si="0"/>
        <v>4225</v>
      </c>
      <c r="G19" s="20">
        <f t="shared" si="1"/>
        <v>1842</v>
      </c>
      <c r="H19" s="24">
        <f t="shared" si="2"/>
        <v>1.7729752412924884</v>
      </c>
    </row>
    <row r="20" spans="2:8" ht="15" customHeight="1" x14ac:dyDescent="0.2">
      <c r="B20" s="5" t="s">
        <v>86</v>
      </c>
      <c r="C20" s="6">
        <v>7036</v>
      </c>
      <c r="D20" s="6">
        <v>14000</v>
      </c>
      <c r="E20" s="12">
        <v>0.6</v>
      </c>
      <c r="F20" s="6">
        <f t="shared" si="0"/>
        <v>8400</v>
      </c>
      <c r="G20" s="20">
        <f t="shared" si="1"/>
        <v>1364</v>
      </c>
      <c r="H20" s="24">
        <f t="shared" si="2"/>
        <v>1.1938601478112565</v>
      </c>
    </row>
    <row r="21" spans="2:8" ht="15" customHeight="1" x14ac:dyDescent="0.2">
      <c r="B21" s="5" t="s">
        <v>83</v>
      </c>
      <c r="C21" s="6">
        <v>7038</v>
      </c>
      <c r="D21" s="6">
        <v>15000</v>
      </c>
      <c r="E21" s="12">
        <v>0.47</v>
      </c>
      <c r="F21" s="6">
        <f t="shared" si="0"/>
        <v>7050</v>
      </c>
      <c r="G21" s="20">
        <f t="shared" si="1"/>
        <v>12</v>
      </c>
      <c r="H21" s="24">
        <f t="shared" si="2"/>
        <v>1.0017050298380221</v>
      </c>
    </row>
    <row r="22" spans="2:8" ht="15" customHeight="1" x14ac:dyDescent="0.2">
      <c r="B22" s="5" t="s">
        <v>87</v>
      </c>
      <c r="C22" s="6">
        <v>1630</v>
      </c>
      <c r="D22" s="6">
        <v>3000</v>
      </c>
      <c r="E22" s="12">
        <v>0.5</v>
      </c>
      <c r="F22" s="6">
        <f t="shared" si="0"/>
        <v>1500</v>
      </c>
      <c r="G22" s="20">
        <f t="shared" si="1"/>
        <v>-130</v>
      </c>
      <c r="H22" s="24">
        <f t="shared" si="2"/>
        <v>0.92024539877300615</v>
      </c>
    </row>
    <row r="23" spans="2:8" ht="15" customHeight="1" x14ac:dyDescent="0.2">
      <c r="B23" s="14" t="s">
        <v>89</v>
      </c>
      <c r="C23" s="16">
        <f>SUM(C17:C22)</f>
        <v>31193</v>
      </c>
      <c r="D23" s="16">
        <f>SUM(D17:D22)</f>
        <v>110900</v>
      </c>
      <c r="E23" s="17" t="s">
        <v>23</v>
      </c>
      <c r="F23" s="16">
        <f>SUM(F17:F22)</f>
        <v>58025</v>
      </c>
      <c r="G23" s="25">
        <f>SUM(G17:G22)</f>
        <v>26832</v>
      </c>
      <c r="H23" s="17" t="s">
        <v>23</v>
      </c>
    </row>
    <row r="24" spans="2:8" ht="15" customHeight="1" x14ac:dyDescent="0.2">
      <c r="B24" s="14" t="s">
        <v>90</v>
      </c>
      <c r="C24" s="17" t="s">
        <v>23</v>
      </c>
      <c r="D24" s="17" t="s">
        <v>23</v>
      </c>
      <c r="E24" s="17" t="s">
        <v>23</v>
      </c>
      <c r="F24" s="16">
        <f>F23*91</f>
        <v>5280275</v>
      </c>
      <c r="G24" s="17" t="s">
        <v>23</v>
      </c>
      <c r="H24" s="17" t="s">
        <v>23</v>
      </c>
    </row>
    <row r="26" spans="2:8" ht="15" customHeight="1" x14ac:dyDescent="0.2">
      <c r="B26" s="8" t="s">
        <v>213</v>
      </c>
    </row>
    <row r="27" spans="2:8" ht="15" customHeight="1" x14ac:dyDescent="0.2">
      <c r="B27" s="4" t="s">
        <v>214</v>
      </c>
      <c r="C27" s="4" t="s">
        <v>215</v>
      </c>
      <c r="D27" s="4" t="s">
        <v>216</v>
      </c>
      <c r="E27" s="4" t="s">
        <v>217</v>
      </c>
      <c r="F27" s="4" t="s">
        <v>97</v>
      </c>
    </row>
    <row r="28" spans="2:8" ht="15" customHeight="1" x14ac:dyDescent="0.2">
      <c r="B28" s="5" t="s">
        <v>218</v>
      </c>
      <c r="C28" s="6">
        <v>110900</v>
      </c>
      <c r="D28" s="20">
        <v>26825</v>
      </c>
      <c r="E28" s="7" t="s">
        <v>134</v>
      </c>
      <c r="F28" s="5" t="s">
        <v>219</v>
      </c>
    </row>
    <row r="29" spans="2:8" ht="15" customHeight="1" x14ac:dyDescent="0.2">
      <c r="B29" s="5" t="s">
        <v>220</v>
      </c>
      <c r="C29" s="6">
        <v>81200</v>
      </c>
      <c r="D29" s="20">
        <v>17016</v>
      </c>
      <c r="E29" s="7" t="s">
        <v>221</v>
      </c>
      <c r="F29" s="5" t="s">
        <v>222</v>
      </c>
    </row>
    <row r="30" spans="2:8" ht="15" customHeight="1" x14ac:dyDescent="0.2">
      <c r="B30" s="5" t="s">
        <v>223</v>
      </c>
      <c r="C30" s="6">
        <v>51500</v>
      </c>
      <c r="D30" s="20">
        <v>7207</v>
      </c>
      <c r="E30" s="7" t="s">
        <v>224</v>
      </c>
      <c r="F30" s="5" t="s">
        <v>225</v>
      </c>
    </row>
    <row r="31" spans="2:8" ht="15" customHeight="1" x14ac:dyDescent="0.2">
      <c r="B31" s="5" t="s">
        <v>226</v>
      </c>
      <c r="C31" s="6">
        <v>140600</v>
      </c>
      <c r="D31" s="20">
        <v>36634</v>
      </c>
      <c r="E31" s="7" t="s">
        <v>227</v>
      </c>
      <c r="F31" s="5" t="s">
        <v>228</v>
      </c>
    </row>
    <row r="34" spans="2:7" ht="15" customHeight="1" x14ac:dyDescent="0.2">
      <c r="B34" s="8" t="s">
        <v>229</v>
      </c>
    </row>
    <row r="35" spans="2:7" ht="15" customHeight="1" x14ac:dyDescent="0.2">
      <c r="B35" s="4" t="s">
        <v>230</v>
      </c>
      <c r="C35" s="4" t="s">
        <v>167</v>
      </c>
      <c r="D35" s="4" t="s">
        <v>231</v>
      </c>
      <c r="E35" s="4" t="s">
        <v>172</v>
      </c>
      <c r="F35" s="4" t="s">
        <v>232</v>
      </c>
      <c r="G35" s="18"/>
    </row>
    <row r="36" spans="2:7" ht="15" customHeight="1" x14ac:dyDescent="0.2">
      <c r="B36" s="5" t="s">
        <v>233</v>
      </c>
      <c r="C36" s="5" t="s">
        <v>85</v>
      </c>
      <c r="D36" s="27">
        <v>0.17</v>
      </c>
      <c r="E36" s="7" t="s">
        <v>194</v>
      </c>
      <c r="F36" s="5" t="s">
        <v>234</v>
      </c>
    </row>
    <row r="37" spans="2:7" ht="15" customHeight="1" x14ac:dyDescent="0.2">
      <c r="B37" s="5" t="s">
        <v>233</v>
      </c>
      <c r="C37" s="5" t="s">
        <v>84</v>
      </c>
      <c r="D37" s="27">
        <v>0.23300000000000001</v>
      </c>
      <c r="E37" s="7" t="s">
        <v>193</v>
      </c>
      <c r="F37" s="5" t="s">
        <v>234</v>
      </c>
    </row>
    <row r="38" spans="2:7" ht="15" customHeight="1" x14ac:dyDescent="0.2">
      <c r="B38" s="5" t="s">
        <v>235</v>
      </c>
      <c r="C38" s="5" t="s">
        <v>88</v>
      </c>
      <c r="D38" s="27">
        <v>0.36699999999999999</v>
      </c>
      <c r="E38" s="7" t="s">
        <v>197</v>
      </c>
      <c r="F38" s="5" t="s">
        <v>236</v>
      </c>
    </row>
    <row r="39" spans="2:7" ht="15" customHeight="1" x14ac:dyDescent="0.2">
      <c r="B39" s="5" t="s">
        <v>237</v>
      </c>
      <c r="C39" s="5" t="s">
        <v>86</v>
      </c>
      <c r="D39" s="27">
        <v>0.503</v>
      </c>
      <c r="E39" s="7" t="s">
        <v>195</v>
      </c>
      <c r="F39" s="5" t="s">
        <v>238</v>
      </c>
    </row>
    <row r="40" spans="2:7" ht="15" customHeight="1" x14ac:dyDescent="0.2">
      <c r="B40" s="5" t="s">
        <v>237</v>
      </c>
      <c r="C40" s="5" t="s">
        <v>87</v>
      </c>
      <c r="D40" s="27">
        <v>0.54300000000000004</v>
      </c>
      <c r="E40" s="7" t="s">
        <v>196</v>
      </c>
      <c r="F40" s="5" t="s">
        <v>239</v>
      </c>
    </row>
    <row r="41" spans="2:7" ht="15" customHeight="1" x14ac:dyDescent="0.2">
      <c r="B41" s="5" t="s">
        <v>240</v>
      </c>
      <c r="C41" s="5" t="s">
        <v>83</v>
      </c>
      <c r="D41" s="27">
        <v>0.46899999999999997</v>
      </c>
      <c r="E41" s="7" t="s">
        <v>192</v>
      </c>
      <c r="F41" s="5" t="s">
        <v>241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B2A4A"/>
  </sheetPr>
  <dimension ref="B2:H21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26" customWidth="1"/>
    <col min="3" max="5" width="14" customWidth="1"/>
    <col min="6" max="6" width="28" customWidth="1"/>
    <col min="7" max="7" width="14" customWidth="1"/>
  </cols>
  <sheetData>
    <row r="2" spans="2:8" ht="17.25" customHeight="1" x14ac:dyDescent="0.2">
      <c r="B2" s="3" t="s">
        <v>242</v>
      </c>
      <c r="C2" s="3"/>
      <c r="D2" s="3"/>
      <c r="E2" s="3"/>
      <c r="F2" s="3"/>
      <c r="G2" s="3"/>
      <c r="H2" s="3"/>
    </row>
    <row r="3" spans="2:8" ht="15" customHeight="1" x14ac:dyDescent="0.2">
      <c r="B3" s="2" t="s">
        <v>243</v>
      </c>
      <c r="C3" s="2"/>
      <c r="D3" s="2"/>
      <c r="E3" s="2"/>
      <c r="F3" s="2"/>
      <c r="G3" s="2"/>
      <c r="H3" s="2"/>
    </row>
    <row r="5" spans="2:8" ht="15" customHeight="1" x14ac:dyDescent="0.2">
      <c r="B5" s="8" t="s">
        <v>244</v>
      </c>
    </row>
    <row r="6" spans="2:8" ht="15" customHeight="1" x14ac:dyDescent="0.2">
      <c r="B6" s="4" t="s">
        <v>245</v>
      </c>
      <c r="C6" s="4" t="s">
        <v>59</v>
      </c>
      <c r="D6" s="4" t="s">
        <v>60</v>
      </c>
      <c r="E6" s="4" t="s">
        <v>61</v>
      </c>
      <c r="F6" s="4" t="s">
        <v>62</v>
      </c>
      <c r="G6" s="18"/>
    </row>
    <row r="7" spans="2:8" ht="15" customHeight="1" x14ac:dyDescent="0.2">
      <c r="B7" s="5" t="s">
        <v>63</v>
      </c>
      <c r="C7" s="7" t="s">
        <v>23</v>
      </c>
      <c r="D7" s="6">
        <v>5542</v>
      </c>
      <c r="E7" s="19">
        <f>D7/D7</f>
        <v>1</v>
      </c>
      <c r="F7" s="5" t="s">
        <v>64</v>
      </c>
    </row>
    <row r="8" spans="2:8" ht="15" customHeight="1" x14ac:dyDescent="0.2">
      <c r="B8" s="5" t="s">
        <v>65</v>
      </c>
      <c r="C8" s="12">
        <v>0.3</v>
      </c>
      <c r="D8" s="6">
        <v>1663</v>
      </c>
      <c r="E8" s="19">
        <f>D8/D7</f>
        <v>0.30007217610970771</v>
      </c>
      <c r="F8" s="5" t="s">
        <v>66</v>
      </c>
    </row>
    <row r="9" spans="2:8" ht="15" customHeight="1" x14ac:dyDescent="0.2">
      <c r="B9" s="5" t="s">
        <v>67</v>
      </c>
      <c r="C9" s="12">
        <v>0.6</v>
      </c>
      <c r="D9" s="6">
        <v>998</v>
      </c>
      <c r="E9" s="19">
        <f>D9/D7</f>
        <v>0.18007939372067847</v>
      </c>
      <c r="F9" s="5" t="s">
        <v>68</v>
      </c>
    </row>
    <row r="10" spans="2:8" ht="15" customHeight="1" x14ac:dyDescent="0.2">
      <c r="B10" s="5" t="s">
        <v>69</v>
      </c>
      <c r="C10" s="12">
        <v>0.5</v>
      </c>
      <c r="D10" s="6">
        <v>499</v>
      </c>
      <c r="E10" s="19">
        <f>D10/D7</f>
        <v>9.0039696860339233E-2</v>
      </c>
      <c r="F10" s="5" t="s">
        <v>70</v>
      </c>
    </row>
    <row r="11" spans="2:8" ht="15" customHeight="1" x14ac:dyDescent="0.2">
      <c r="B11" s="5" t="s">
        <v>71</v>
      </c>
      <c r="C11" s="12">
        <v>0.4</v>
      </c>
      <c r="D11" s="6">
        <v>200</v>
      </c>
      <c r="E11" s="19">
        <f>D11/D7</f>
        <v>3.6088054853843379E-2</v>
      </c>
      <c r="F11" s="5" t="s">
        <v>72</v>
      </c>
    </row>
    <row r="12" spans="2:8" ht="15" customHeight="1" x14ac:dyDescent="0.2">
      <c r="B12" s="5" t="s">
        <v>73</v>
      </c>
      <c r="C12" s="12">
        <v>0.08</v>
      </c>
      <c r="D12" s="6">
        <v>16</v>
      </c>
      <c r="E12" s="19">
        <f>D12/D7</f>
        <v>2.88704438830747E-3</v>
      </c>
      <c r="F12" s="5" t="s">
        <v>74</v>
      </c>
    </row>
    <row r="15" spans="2:8" ht="15" customHeight="1" x14ac:dyDescent="0.2">
      <c r="B15" s="8" t="s">
        <v>246</v>
      </c>
    </row>
    <row r="16" spans="2:8" ht="15" customHeight="1" x14ac:dyDescent="0.2">
      <c r="B16" s="5" t="s">
        <v>247</v>
      </c>
      <c r="C16" s="19">
        <f>D12/D7</f>
        <v>2.88704438830747E-3</v>
      </c>
      <c r="D16" s="1" t="s">
        <v>248</v>
      </c>
      <c r="E16" s="1"/>
      <c r="F16" s="1"/>
    </row>
    <row r="17" spans="2:6" ht="15" customHeight="1" x14ac:dyDescent="0.2">
      <c r="B17" s="5" t="s">
        <v>249</v>
      </c>
      <c r="C17" s="19">
        <f>D12/D9</f>
        <v>1.6032064128256512E-2</v>
      </c>
      <c r="D17" s="1" t="s">
        <v>250</v>
      </c>
      <c r="E17" s="1"/>
      <c r="F17" s="1"/>
    </row>
    <row r="18" spans="2:6" ht="15" customHeight="1" x14ac:dyDescent="0.2">
      <c r="B18" s="5" t="s">
        <v>251</v>
      </c>
      <c r="C18" s="6">
        <f>D7</f>
        <v>5542</v>
      </c>
      <c r="D18" s="1" t="s">
        <v>252</v>
      </c>
      <c r="E18" s="1"/>
      <c r="F18" s="1"/>
    </row>
    <row r="19" spans="2:6" ht="15" customHeight="1" x14ac:dyDescent="0.2">
      <c r="B19" s="5" t="s">
        <v>253</v>
      </c>
      <c r="C19" s="6">
        <f>D8</f>
        <v>1663</v>
      </c>
      <c r="D19" s="1" t="s">
        <v>254</v>
      </c>
      <c r="E19" s="1"/>
      <c r="F19" s="1"/>
    </row>
    <row r="20" spans="2:6" ht="15" customHeight="1" x14ac:dyDescent="0.2">
      <c r="B20" s="5" t="s">
        <v>67</v>
      </c>
      <c r="C20" s="6">
        <f>D9</f>
        <v>998</v>
      </c>
      <c r="D20" s="1" t="s">
        <v>255</v>
      </c>
      <c r="E20" s="1"/>
      <c r="F20" s="1"/>
    </row>
    <row r="21" spans="2:6" ht="15" customHeight="1" x14ac:dyDescent="0.2">
      <c r="B21" s="5" t="s">
        <v>256</v>
      </c>
      <c r="C21" s="6">
        <f>D12</f>
        <v>16</v>
      </c>
      <c r="D21" s="1" t="s">
        <v>257</v>
      </c>
      <c r="E21" s="1"/>
      <c r="F21" s="1"/>
    </row>
  </sheetData>
  <mergeCells count="8">
    <mergeCell ref="D19:F19"/>
    <mergeCell ref="D20:F20"/>
    <mergeCell ref="D21:F21"/>
    <mergeCell ref="B2:H2"/>
    <mergeCell ref="B3:H3"/>
    <mergeCell ref="D16:F16"/>
    <mergeCell ref="D17:F17"/>
    <mergeCell ref="D18:F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CAC Overview</vt:lpstr>
      <vt:lpstr>Marketing CAC</vt:lpstr>
      <vt:lpstr>True CAC Hub</vt:lpstr>
      <vt:lpstr>Group-wise CAC</vt:lpstr>
      <vt:lpstr>Revenue-wise CAC</vt:lpstr>
      <vt:lpstr>Funnel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Inderjeet Bandwal</cp:lastModifiedBy>
  <cp:revision>3</cp:revision>
  <dcterms:created xsi:type="dcterms:W3CDTF">2026-04-08T05:36:20Z</dcterms:created>
  <dcterms:modified xsi:type="dcterms:W3CDTF">2026-04-08T05:54:48Z</dcterms:modified>
  <dc:language>en-US</dc:language>
</cp:coreProperties>
</file>