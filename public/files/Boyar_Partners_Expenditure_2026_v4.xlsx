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drawings/drawing15.xml" ContentType="application/vnd.openxmlformats-officedocument.drawing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B42F5020-8CDF-3F43-A989-EA9F79A70613}" xr6:coauthVersionLast="47" xr6:coauthVersionMax="47" xr10:uidLastSave="{00000000-0000-0000-0000-000000000000}"/>
  <bookViews>
    <workbookView xWindow="0" yWindow="0" windowWidth="33600" windowHeight="21000" tabRatio="500" firstSheet="1" activeTab="6" xr2:uid="{00000000-000D-0000-FFFF-FFFF00000000}"/>
  </bookViews>
  <sheets>
    <sheet name="Executive Summary" sheetId="1" r:id="rId1"/>
    <sheet name="Jan 2026" sheetId="2" r:id="rId2"/>
    <sheet name="Feb 2026" sheetId="3" r:id="rId3"/>
    <sheet name="Mar 2026" sheetId="4" r:id="rId4"/>
    <sheet name="Apr 2026" sheetId="5" r:id="rId5"/>
    <sheet name="May 2026" sheetId="6" r:id="rId6"/>
    <sheet name="Jun 2026" sheetId="7" r:id="rId7"/>
    <sheet name="Jul 2026" sheetId="8" r:id="rId8"/>
    <sheet name="Aug 2026" sheetId="9" r:id="rId9"/>
    <sheet name="Sep 2026" sheetId="10" r:id="rId10"/>
    <sheet name="Oct 2026" sheetId="11" r:id="rId11"/>
    <sheet name="Nov 2026" sheetId="12" r:id="rId12"/>
    <sheet name="Dec 2026" sheetId="13" r:id="rId13"/>
    <sheet name="Category Allocation" sheetId="14" r:id="rId14"/>
    <sheet name="CAPEX Detail" sheetId="15" r:id="rId15"/>
    <sheet name="Burn Rate &amp; Runway" sheetId="16" r:id="rId1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7" i="16" l="1"/>
  <c r="D7" i="16"/>
  <c r="D8" i="16" s="1"/>
  <c r="D6" i="16"/>
  <c r="F6" i="16" s="1"/>
  <c r="F5" i="16"/>
  <c r="E5" i="16"/>
  <c r="D5" i="16"/>
  <c r="N12" i="14"/>
  <c r="M12" i="14"/>
  <c r="L12" i="14"/>
  <c r="K12" i="14"/>
  <c r="J12" i="14"/>
  <c r="I12" i="14"/>
  <c r="H12" i="14"/>
  <c r="G12" i="14"/>
  <c r="F12" i="14"/>
  <c r="E12" i="14"/>
  <c r="D12" i="14"/>
  <c r="C12" i="14"/>
  <c r="O11" i="14"/>
  <c r="O10" i="14"/>
  <c r="O9" i="14"/>
  <c r="O8" i="14"/>
  <c r="O7" i="14"/>
  <c r="O6" i="14"/>
  <c r="O5" i="14"/>
  <c r="D49" i="13"/>
  <c r="C49" i="13"/>
  <c r="D13" i="13"/>
  <c r="C13" i="13"/>
  <c r="E12" i="13"/>
  <c r="E11" i="13"/>
  <c r="E10" i="13"/>
  <c r="E9" i="13"/>
  <c r="E8" i="13"/>
  <c r="E7" i="13"/>
  <c r="E6" i="13"/>
  <c r="D49" i="12"/>
  <c r="C49" i="12"/>
  <c r="D13" i="12"/>
  <c r="C13" i="12"/>
  <c r="E7" i="12" s="1"/>
  <c r="E9" i="12"/>
  <c r="E8" i="12"/>
  <c r="E6" i="12"/>
  <c r="D49" i="11"/>
  <c r="C49" i="11"/>
  <c r="D13" i="11"/>
  <c r="C13" i="11"/>
  <c r="E6" i="11" s="1"/>
  <c r="E12" i="11"/>
  <c r="E9" i="11"/>
  <c r="E8" i="11"/>
  <c r="E7" i="11"/>
  <c r="D49" i="10"/>
  <c r="C49" i="10"/>
  <c r="D13" i="10"/>
  <c r="C13" i="10"/>
  <c r="E12" i="10"/>
  <c r="E11" i="10"/>
  <c r="E10" i="10"/>
  <c r="E9" i="10"/>
  <c r="E8" i="10"/>
  <c r="E7" i="10"/>
  <c r="E6" i="10"/>
  <c r="D49" i="9"/>
  <c r="C49" i="9"/>
  <c r="D13" i="9"/>
  <c r="C13" i="9"/>
  <c r="E12" i="9" s="1"/>
  <c r="E10" i="9"/>
  <c r="D49" i="8"/>
  <c r="C49" i="8"/>
  <c r="D13" i="8"/>
  <c r="C13" i="8"/>
  <c r="E12" i="8" s="1"/>
  <c r="D49" i="7"/>
  <c r="C49" i="7"/>
  <c r="D13" i="7"/>
  <c r="C13" i="7"/>
  <c r="E10" i="7" s="1"/>
  <c r="E12" i="7"/>
  <c r="E11" i="7"/>
  <c r="D49" i="6"/>
  <c r="C49" i="6"/>
  <c r="D13" i="6"/>
  <c r="C13" i="6"/>
  <c r="E9" i="6" s="1"/>
  <c r="E12" i="6"/>
  <c r="E11" i="6"/>
  <c r="E10" i="6"/>
  <c r="E8" i="6"/>
  <c r="E7" i="6"/>
  <c r="D49" i="5"/>
  <c r="C49" i="5"/>
  <c r="D13" i="5"/>
  <c r="C13" i="5"/>
  <c r="E12" i="5" s="1"/>
  <c r="E11" i="5"/>
  <c r="E10" i="5"/>
  <c r="E9" i="5"/>
  <c r="D49" i="4"/>
  <c r="C49" i="4"/>
  <c r="D13" i="4"/>
  <c r="C13" i="4"/>
  <c r="E11" i="4" s="1"/>
  <c r="E10" i="4"/>
  <c r="E9" i="4"/>
  <c r="E8" i="4"/>
  <c r="D49" i="3"/>
  <c r="C49" i="3"/>
  <c r="D13" i="3"/>
  <c r="C13" i="3"/>
  <c r="E6" i="3" s="1"/>
  <c r="E12" i="3"/>
  <c r="E11" i="3"/>
  <c r="E10" i="3"/>
  <c r="E9" i="3"/>
  <c r="E8" i="3"/>
  <c r="E7" i="3"/>
  <c r="D63" i="2"/>
  <c r="C63" i="2"/>
  <c r="D26" i="2"/>
  <c r="C26" i="2"/>
  <c r="E25" i="2"/>
  <c r="E24" i="2"/>
  <c r="E23" i="2"/>
  <c r="E22" i="2"/>
  <c r="E21" i="2"/>
  <c r="E20" i="2"/>
  <c r="E19" i="2"/>
  <c r="C63" i="1"/>
  <c r="C62" i="1"/>
  <c r="N16" i="1"/>
  <c r="K16" i="1"/>
  <c r="N13" i="1"/>
  <c r="M13" i="1"/>
  <c r="M16" i="1" s="1"/>
  <c r="L13" i="1"/>
  <c r="L16" i="1" s="1"/>
  <c r="K13" i="1"/>
  <c r="J13" i="1"/>
  <c r="J16" i="1" s="1"/>
  <c r="I13" i="1"/>
  <c r="I16" i="1" s="1"/>
  <c r="H13" i="1"/>
  <c r="H16" i="1" s="1"/>
  <c r="G13" i="1"/>
  <c r="G16" i="1" s="1"/>
  <c r="F13" i="1"/>
  <c r="F16" i="1" s="1"/>
  <c r="E13" i="1"/>
  <c r="E16" i="1" s="1"/>
  <c r="D13" i="1"/>
  <c r="D16" i="1" s="1"/>
  <c r="C13" i="1"/>
  <c r="O13" i="1" s="1"/>
  <c r="O12" i="1"/>
  <c r="C67" i="1" s="1"/>
  <c r="O11" i="1"/>
  <c r="C66" i="1" s="1"/>
  <c r="O10" i="1"/>
  <c r="C65" i="1" s="1"/>
  <c r="O9" i="1"/>
  <c r="C64" i="1" s="1"/>
  <c r="O8" i="1"/>
  <c r="O7" i="1"/>
  <c r="O6" i="1"/>
  <c r="C61" i="1" s="1"/>
  <c r="D9" i="16" l="1"/>
  <c r="F8" i="16"/>
  <c r="E8" i="16"/>
  <c r="E6" i="8"/>
  <c r="E6" i="9"/>
  <c r="E6" i="7"/>
  <c r="E10" i="11"/>
  <c r="E11" i="12"/>
  <c r="E7" i="9"/>
  <c r="E10" i="12"/>
  <c r="E7" i="8"/>
  <c r="E8" i="9"/>
  <c r="E6" i="16"/>
  <c r="E6" i="6"/>
  <c r="E7" i="7"/>
  <c r="E8" i="8"/>
  <c r="E9" i="9"/>
  <c r="E11" i="11"/>
  <c r="E12" i="12"/>
  <c r="E12" i="4"/>
  <c r="E6" i="5"/>
  <c r="E8" i="7"/>
  <c r="E9" i="8"/>
  <c r="E7" i="5"/>
  <c r="E11" i="9"/>
  <c r="C16" i="1"/>
  <c r="E6" i="4"/>
  <c r="E9" i="7"/>
  <c r="E10" i="8"/>
  <c r="E7" i="16"/>
  <c r="E7" i="4"/>
  <c r="E8" i="5"/>
  <c r="E11" i="8"/>
  <c r="F7" i="16"/>
  <c r="O12" i="14"/>
  <c r="P6" i="14" s="1"/>
  <c r="D10" i="16" l="1"/>
  <c r="F9" i="16"/>
  <c r="E9" i="16"/>
  <c r="C17" i="1"/>
  <c r="D17" i="1" s="1"/>
  <c r="E17" i="1" s="1"/>
  <c r="F17" i="1" s="1"/>
  <c r="G17" i="1" s="1"/>
  <c r="H17" i="1" s="1"/>
  <c r="I17" i="1" s="1"/>
  <c r="J17" i="1" s="1"/>
  <c r="K17" i="1" s="1"/>
  <c r="L17" i="1" s="1"/>
  <c r="M17" i="1" s="1"/>
  <c r="N17" i="1" s="1"/>
  <c r="O16" i="1"/>
  <c r="C20" i="1" s="1"/>
  <c r="P5" i="14"/>
  <c r="P9" i="14"/>
  <c r="P11" i="14"/>
  <c r="P7" i="14"/>
  <c r="P10" i="14"/>
  <c r="P8" i="14"/>
  <c r="C21" i="1" l="1"/>
  <c r="C22" i="1"/>
  <c r="D11" i="16"/>
  <c r="F10" i="16"/>
  <c r="E10" i="16"/>
  <c r="D12" i="16" l="1"/>
  <c r="F11" i="16"/>
  <c r="E11" i="16"/>
  <c r="D13" i="16" l="1"/>
  <c r="F12" i="16"/>
  <c r="E12" i="16"/>
  <c r="D14" i="16" l="1"/>
  <c r="F13" i="16"/>
  <c r="E13" i="16"/>
  <c r="D15" i="16" l="1"/>
  <c r="F14" i="16"/>
  <c r="E14" i="16"/>
  <c r="D16" i="16" l="1"/>
  <c r="F15" i="16"/>
  <c r="E15" i="16"/>
  <c r="F16" i="16" l="1"/>
  <c r="E16" i="16"/>
</calcChain>
</file>

<file path=xl/sharedStrings.xml><?xml version="1.0" encoding="utf-8"?>
<sst xmlns="http://schemas.openxmlformats.org/spreadsheetml/2006/main" count="558" uniqueCount="120">
  <si>
    <t>BOYAR PARTNERS — Year 1 Expenditure Summary (2026)</t>
  </si>
  <si>
    <t>All amounts in INR  |  Exchange Rate: ₹91 = $1 USD  |  Period: January – December 2026  |  Capital Raised: ₹1.37 Cr</t>
  </si>
  <si>
    <t>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</si>
  <si>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</si>
  <si>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</si>
  <si>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</si>
  <si>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</si>
  <si>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</si>
  <si>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</si>
  <si>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</si>
  <si>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</si>
  <si>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</si>
  <si>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</si>
  <si>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</si>
  <si>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</si>
  <si>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 Total</t>
  </si>
  <si>
    <t>Technology &amp; Software</t>
  </si>
  <si>
    <t>Infrastructure (Office)</t>
  </si>
  <si>
    <t>Device Rental</t>
  </si>
  <si>
    <t>Content Production</t>
  </si>
  <si>
    <t>Marketing &amp; Ads</t>
  </si>
  <si>
    <t>Human Resources</t>
  </si>
  <si>
    <t>Contingency Reserve</t>
  </si>
  <si>
    <t>MONTHLY TOTAL</t>
  </si>
  <si>
    <t>One-Time CAPEX (M1 Only)</t>
  </si>
  <si>
    <t>GRAND TOTAL (OPEX + CAPEX)</t>
  </si>
  <si>
    <t>Cumulative Spend</t>
  </si>
  <si>
    <t>Total Capital Raised</t>
  </si>
  <si>
    <t>Total Year 1 Spend</t>
  </si>
  <si>
    <t>Remaining Capital</t>
  </si>
  <si>
    <t>Utilisation Rate</t>
  </si>
  <si>
    <t>BOYAR PARTNERS — Jan 2026 Expenditure</t>
  </si>
  <si>
    <t>Month 1 (Initial Setup + Recurring)</t>
  </si>
  <si>
    <t>ONE-TIME CAPEX ITEMS</t>
  </si>
  <si>
    <t>INR (₹)</t>
  </si>
  <si>
    <t>USD ($)</t>
  </si>
  <si>
    <t>% of M1</t>
  </si>
  <si>
    <t>Type</t>
  </si>
  <si>
    <t>FCA Licensing</t>
  </si>
  <si>
    <t>One-Time</t>
  </si>
  <si>
    <t>Indian Company Formation</t>
  </si>
  <si>
    <t>LG Monitors (×2)</t>
  </si>
  <si>
    <t>Mac Mini</t>
  </si>
  <si>
    <t>Webcams (×2)</t>
  </si>
  <si>
    <t>Office Chairs (×2)</t>
  </si>
  <si>
    <t>2TB SSD</t>
  </si>
  <si>
    <t>DJI Mic</t>
  </si>
  <si>
    <t>Website</t>
  </si>
  <si>
    <t>Visiting Cards</t>
  </si>
  <si>
    <t>CAPEX SUBTOTAL</t>
  </si>
  <si>
    <t>RECURRING OPEX CATEGORY</t>
  </si>
  <si>
    <t>% of Month</t>
  </si>
  <si>
    <t>Frequency</t>
  </si>
  <si>
    <t>Monthly</t>
  </si>
  <si>
    <t>OPEX SUBTOTAL</t>
  </si>
  <si>
    <t>MONTH 1 GRAND TOTAL</t>
  </si>
  <si>
    <t>Software Stack Breakdown</t>
  </si>
  <si>
    <t>ChatGPT Business ×2</t>
  </si>
  <si>
    <t>HubSpot Starter ×2</t>
  </si>
  <si>
    <t>Canva Pro</t>
  </si>
  <si>
    <t>KrispCall Virtual Number</t>
  </si>
  <si>
    <t>Otter.ai</t>
  </si>
  <si>
    <t>Proton Mail + Drive</t>
  </si>
  <si>
    <t>LinkedIn (2 accounts)</t>
  </si>
  <si>
    <t>LinkedIn Sales Navigator</t>
  </si>
  <si>
    <t>Structure Layout Tools</t>
  </si>
  <si>
    <t>Total Software</t>
  </si>
  <si>
    <t>BOYAR PARTNERS — Feb 2026 Expenditure</t>
  </si>
  <si>
    <t>Month 2 (Recurring OPEX)</t>
  </si>
  <si>
    <t>BOYAR PARTNERS — Mar 2026 Expenditure</t>
  </si>
  <si>
    <t>Month 3 (Recurring OPEX)</t>
  </si>
  <si>
    <t>BOYAR PARTNERS — Apr 2026 Expenditure</t>
  </si>
  <si>
    <t>Month 4 (Recurring OPEX)</t>
  </si>
  <si>
    <t>BOYAR PARTNERS — May 2026 Expenditure</t>
  </si>
  <si>
    <t>Month 5 (Recurring OPEX)</t>
  </si>
  <si>
    <t>BOYAR PARTNERS — Jun 2026 Expenditure</t>
  </si>
  <si>
    <t>Month 6 (Recurring OPEX)</t>
  </si>
  <si>
    <t>BOYAR PARTNERS — Jul 2026 Expenditure</t>
  </si>
  <si>
    <t>Month 7 (Recurring OPEX)</t>
  </si>
  <si>
    <t>BOYAR PARTNERS — Aug 2026 Expenditure</t>
  </si>
  <si>
    <t>Month 8 (Recurring OPEX)</t>
  </si>
  <si>
    <t>BOYAR PARTNERS — Sep 2026 Expenditure</t>
  </si>
  <si>
    <t>Month 9 (Recurring OPEX)</t>
  </si>
  <si>
    <t>BOYAR PARTNERS — Oct 2026 Expenditure</t>
  </si>
  <si>
    <t>Month 10 (Recurring OPEX)</t>
  </si>
  <si>
    <t>BOYAR PARTNERS — Nov 2026 Expenditure</t>
  </si>
  <si>
    <t>Month 11 (Recurring OPEX)</t>
  </si>
  <si>
    <t>BOYAR PARTNERS — Dec 2026 Expenditure</t>
  </si>
  <si>
    <t>Month 12 (Recurring OPEX)</t>
  </si>
  <si>
    <t>BOYAR PARTNERS — Category-Wise Spend Allocation (Year 1)</t>
  </si>
  <si>
    <t>% of Total</t>
  </si>
  <si>
    <t>TOTAL</t>
  </si>
  <si>
    <t>BOYAR PARTNERS — One-Time Capital Expenditure (January 2026)</t>
  </si>
  <si>
    <t>Item</t>
  </si>
  <si>
    <t>% of CAPEX</t>
  </si>
  <si>
    <t>Licensing &amp; Legal</t>
  </si>
  <si>
    <t>Tech Devices</t>
  </si>
  <si>
    <t>Infrastructure</t>
  </si>
  <si>
    <t>Marketing</t>
  </si>
  <si>
    <t>TOTAL CAPEX</t>
  </si>
  <si>
    <t>BOYAR PARTNERS — Burn Rate Summary &amp; Runway Projection</t>
  </si>
  <si>
    <t>Total Capital:</t>
  </si>
  <si>
    <t>Month</t>
  </si>
  <si>
    <t>Monthly Spend (₹)</t>
  </si>
  <si>
    <t>Cumulative Spend (₹)</t>
  </si>
  <si>
    <t>Remaining Capital (₹)</t>
  </si>
  <si>
    <t>Burn Rate (%)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</si>
  <si>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</si>
  <si>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</si>
  <si>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</si>
  <si>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</si>
  <si>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</si>
  <si>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</si>
  <si>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</si>
  <si>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</si>
  <si>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</si>
  <si>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</si>
  <si>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</si>
  <si>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</si>
  <si>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YEAR 1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</si>
</sst>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.0"/>
  </numFmts>
  <fonts count="10" x14ac:knownFonts="1">
    <font>
      <sz val="11"/>
      <color theme="1"/>
      <name val="Calibri"/>
      <family val="2"/>
      <charset val="1"/>
    </font>
    <font>
      <b/>
      <sz val="16"/>
      <color rgb="FF1E293B"/>
      <name val="Arial"/>
      <family val="2"/>
    </font>
    <font>
      <i/>
      <sz val="9"/>
      <color rgb="FF64748B"/>
      <name val="Arial"/>
      <family val="2"/>
    </font>
    <font>
      <b/>
      <sz val="11"/>
      <color rgb="FFFFFFFF"/>
      <name val="Arial"/>
      <family val="2"/>
    </font>
    <font>
      <sz val="10"/>
      <color rgb="FF1E293B"/>
      <name val="Arial"/>
      <family val="2"/>
    </font>
    <font>
      <b/>
      <sz val="10"/>
      <color rgb="FF1E40AF"/>
      <name val="Arial"/>
      <family val="2"/>
    </font>
    <font>
      <b/>
      <sz val="11"/>
      <color rgb="FF1E3A5F"/>
      <name val="Arial"/>
      <family val="2"/>
    </font>
    <font>
      <sz val="10"/>
      <color rgb="FF64748B"/>
      <name val="Arial"/>
      <family val="2"/>
    </font>
    <font>
      <b/>
      <sz val="10"/>
      <color rgb="FF64748B"/>
      <name val="Arial"/>
      <family val="2"/>
    </font>
    <font>
      <b/>
      <sz val="11"/>
      <color rgb="FF05966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E3A5F"/>
        <bgColor rgb="FF334155"/>
      </patternFill>
    </fill>
    <fill>
      <patternFill patternType="solid">
        <fgColor rgb="FFF8FAFC"/>
        <bgColor rgb="FFFFFFFF"/>
      </patternFill>
    </fill>
    <fill>
      <patternFill patternType="solid">
        <fgColor rgb="FFDBEAFE"/>
        <bgColor rgb="FFE2E8F0"/>
      </patternFill>
    </fill>
    <fill>
      <patternFill patternType="solid">
        <fgColor rgb="FFFFFFFF"/>
        <bgColor rgb="FFF8FAFC"/>
      </patternFill>
    </fill>
    <fill>
      <patternFill patternType="solid">
        <fgColor rgb="FF1E40AF"/>
        <bgColor rgb="FF1E3A5F"/>
      </patternFill>
    </fill>
    <fill>
      <patternFill patternType="solid">
        <fgColor rgb="FFEFF6FF"/>
        <bgColor rgb="FFF8FAFC"/>
      </patternFill>
    </fill>
    <fill>
      <patternFill patternType="solid">
        <fgColor rgb="FF334155"/>
        <bgColor rgb="FF1E3A5F"/>
      </patternFill>
    </fill>
    <fill>
      <patternFill patternType="solid">
        <fgColor rgb="FFE2E8F0"/>
        <bgColor rgb="FFDBEAFE"/>
      </patternFill>
    </fill>
  </fills>
  <borders count="3">
    <border>
      <left/>
      <right/>
      <top/>
      <bottom/>
      <diagonal/>
    </border>
    <border>
      <left style="thin">
        <color rgb="FF1E3A5F"/>
      </left>
      <right style="thin">
        <color rgb="FF1E3A5F"/>
      </right>
      <top style="thin">
        <color rgb="FF1E3A5F"/>
      </top>
      <bottom style="medium">
        <color rgb="FF60A5F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3" fontId="4" fillId="3" borderId="2" xfId="0" applyNumberFormat="1" applyFont="1" applyFill="1" applyBorder="1" applyAlignment="1">
      <alignment horizontal="right" vertical="center"/>
    </xf>
    <xf numFmtId="3" fontId="5" fillId="4" borderId="2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left" vertical="center" wrapText="1"/>
    </xf>
    <xf numFmtId="3" fontId="4" fillId="5" borderId="2" xfId="0" applyNumberFormat="1" applyFont="1" applyFill="1" applyBorder="1" applyAlignment="1">
      <alignment horizontal="right" vertical="center"/>
    </xf>
    <xf numFmtId="0" fontId="3" fillId="6" borderId="2" xfId="0" applyFont="1" applyFill="1" applyBorder="1" applyAlignment="1">
      <alignment horizontal="left" vertical="center" wrapText="1"/>
    </xf>
    <xf numFmtId="3" fontId="3" fillId="6" borderId="2" xfId="0" applyNumberFormat="1" applyFont="1" applyFill="1" applyBorder="1" applyAlignment="1">
      <alignment horizontal="right" vertical="center"/>
    </xf>
    <xf numFmtId="0" fontId="6" fillId="7" borderId="2" xfId="0" applyFont="1" applyFill="1" applyBorder="1"/>
    <xf numFmtId="3" fontId="5" fillId="7" borderId="2" xfId="0" applyNumberFormat="1" applyFont="1" applyFill="1" applyBorder="1"/>
    <xf numFmtId="3" fontId="7" fillId="7" borderId="2" xfId="0" applyNumberFormat="1" applyFont="1" applyFill="1" applyBorder="1"/>
    <xf numFmtId="0" fontId="3" fillId="6" borderId="2" xfId="0" applyFont="1" applyFill="1" applyBorder="1"/>
    <xf numFmtId="3" fontId="3" fillId="6" borderId="2" xfId="0" applyNumberFormat="1" applyFont="1" applyFill="1" applyBorder="1"/>
    <xf numFmtId="0" fontId="8" fillId="0" borderId="2" xfId="0" applyFont="1" applyBorder="1"/>
    <xf numFmtId="3" fontId="4" fillId="0" borderId="2" xfId="0" applyNumberFormat="1" applyFont="1" applyBorder="1" applyAlignment="1">
      <alignment horizontal="right" vertical="center"/>
    </xf>
    <xf numFmtId="0" fontId="6" fillId="0" borderId="0" xfId="0" applyFont="1"/>
    <xf numFmtId="3" fontId="9" fillId="0" borderId="0" xfId="0" applyNumberFormat="1" applyFont="1"/>
    <xf numFmtId="3" fontId="5" fillId="0" borderId="0" xfId="0" applyNumberFormat="1" applyFont="1"/>
    <xf numFmtId="164" fontId="5" fillId="0" borderId="0" xfId="0" applyNumberFormat="1" applyFont="1"/>
    <xf numFmtId="0" fontId="3" fillId="0" borderId="0" xfId="0" applyFont="1"/>
    <xf numFmtId="3" fontId="0" fillId="0" borderId="0" xfId="0" applyNumberFormat="1"/>
    <xf numFmtId="0" fontId="4" fillId="3" borderId="2" xfId="0" applyFont="1" applyFill="1" applyBorder="1"/>
    <xf numFmtId="3" fontId="4" fillId="3" borderId="2" xfId="0" applyNumberFormat="1" applyFont="1" applyFill="1" applyBorder="1"/>
    <xf numFmtId="165" fontId="4" fillId="3" borderId="2" xfId="0" applyNumberFormat="1" applyFont="1" applyFill="1" applyBorder="1"/>
    <xf numFmtId="0" fontId="7" fillId="3" borderId="2" xfId="0" applyFont="1" applyFill="1" applyBorder="1"/>
    <xf numFmtId="0" fontId="4" fillId="5" borderId="2" xfId="0" applyFont="1" applyFill="1" applyBorder="1"/>
    <xf numFmtId="3" fontId="4" fillId="5" borderId="2" xfId="0" applyNumberFormat="1" applyFont="1" applyFill="1" applyBorder="1"/>
    <xf numFmtId="165" fontId="4" fillId="5" borderId="2" xfId="0" applyNumberFormat="1" applyFont="1" applyFill="1" applyBorder="1"/>
    <xf numFmtId="0" fontId="7" fillId="5" borderId="2" xfId="0" applyFont="1" applyFill="1" applyBorder="1"/>
    <xf numFmtId="0" fontId="5" fillId="4" borderId="2" xfId="0" applyFont="1" applyFill="1" applyBorder="1"/>
    <xf numFmtId="3" fontId="5" fillId="4" borderId="2" xfId="0" applyNumberFormat="1" applyFont="1" applyFill="1" applyBorder="1"/>
    <xf numFmtId="165" fontId="5" fillId="4" borderId="2" xfId="0" applyNumberFormat="1" applyFont="1" applyFill="1" applyBorder="1"/>
    <xf numFmtId="0" fontId="3" fillId="8" borderId="1" xfId="0" applyFont="1" applyFill="1" applyBorder="1" applyAlignment="1">
      <alignment horizontal="center" vertical="center" wrapText="1"/>
    </xf>
    <xf numFmtId="164" fontId="7" fillId="3" borderId="2" xfId="0" applyNumberFormat="1" applyFont="1" applyFill="1" applyBorder="1"/>
    <xf numFmtId="164" fontId="7" fillId="5" borderId="2" xfId="0" applyNumberFormat="1" applyFont="1" applyFill="1" applyBorder="1"/>
    <xf numFmtId="165" fontId="3" fillId="6" borderId="2" xfId="0" applyNumberFormat="1" applyFont="1" applyFill="1" applyBorder="1"/>
    <xf numFmtId="0" fontId="6" fillId="9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165" fontId="4" fillId="3" borderId="2" xfId="0" applyNumberFormat="1" applyFont="1" applyFill="1" applyBorder="1" applyAlignment="1">
      <alignment horizontal="right" vertical="center"/>
    </xf>
    <xf numFmtId="165" fontId="4" fillId="5" borderId="2" xfId="0" applyNumberFormat="1" applyFont="1" applyFill="1" applyBorder="1" applyAlignment="1">
      <alignment horizontal="right" vertical="center"/>
    </xf>
    <xf numFmtId="164" fontId="7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B3B3B3"/>
      <rgbColor rgb="FF4F81BD"/>
      <rgbColor rgb="FF60A5FA"/>
      <rgbColor rgb="FFEF4444"/>
      <rgbColor rgb="FFF8FAFC"/>
      <rgbColor rgb="FFDBEAFE"/>
      <rgbColor rgb="FF660066"/>
      <rgbColor rgb="FFEC4899"/>
      <rgbColor rgb="FF6366F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6D4"/>
      <rgbColor rgb="FFEFF6FF"/>
      <rgbColor rgb="FFE2E8F0"/>
      <rgbColor rgb="FFFFFF99"/>
      <rgbColor rgb="FF99CCFF"/>
      <rgbColor rgb="FFFF99CC"/>
      <rgbColor rgb="FFCC99FF"/>
      <rgbColor rgb="FFFFCC99"/>
      <rgbColor rgb="FF3B82F6"/>
      <rgbColor rgb="FF14B8A6"/>
      <rgbColor rgb="FF99CC00"/>
      <rgbColor rgb="FFFFCC00"/>
      <rgbColor rgb="FFF59E0B"/>
      <rgbColor rgb="FFF97316"/>
      <rgbColor rgb="FF64748B"/>
      <rgbColor rgb="FF8B5CF6"/>
      <rgbColor rgb="FF1E3A5F"/>
      <rgbColor rgb="FF10B981"/>
      <rgbColor rgb="FF334155"/>
      <rgbColor rgb="FF1B2A4A"/>
      <rgbColor rgb="FF993300"/>
      <rgbColor rgb="FF993366"/>
      <rgbColor rgb="FF1E40AF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Monthly Expenditure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3B82F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'Executive Summary'!$C$16:$N$16</c:f>
              <c:numCache>
                <c:formatCode>#,##0</c:formatCode>
                <c:ptCount val="12"/>
                <c:pt idx="0">
                  <c:v>1215600</c:v>
                </c:pt>
                <c:pt idx="1">
                  <c:v>276600</c:v>
                </c:pt>
                <c:pt idx="2">
                  <c:v>296600</c:v>
                </c:pt>
                <c:pt idx="3">
                  <c:v>256600</c:v>
                </c:pt>
                <c:pt idx="4">
                  <c:v>261600</c:v>
                </c:pt>
                <c:pt idx="5">
                  <c:v>251600</c:v>
                </c:pt>
                <c:pt idx="6">
                  <c:v>246600</c:v>
                </c:pt>
                <c:pt idx="7">
                  <c:v>276600</c:v>
                </c:pt>
                <c:pt idx="8">
                  <c:v>286600</c:v>
                </c:pt>
                <c:pt idx="9">
                  <c:v>296600</c:v>
                </c:pt>
                <c:pt idx="10">
                  <c:v>276600</c:v>
                </c:pt>
                <c:pt idx="11">
                  <c:v>266600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9F-0646-A39C-083E22BD7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72089"/>
        <c:axId val="40748656"/>
      </c:barChart>
      <c:catAx>
        <c:axId val="25720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748656"/>
        <c:crosses val="autoZero"/>
        <c:auto val="1"/>
        <c:lblAlgn val="ctr"/>
        <c:lblOffset val="100"/>
        <c:noMultiLvlLbl val="0"/>
      </c:catAx>
      <c:valAx>
        <c:axId val="4074865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720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Cumulative Capital Deployment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080">
              <a:solidFill>
                <a:srgbClr val="EF444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'Executive Summary'!$C$17:$N$17</c:f>
              <c:numCache>
                <c:formatCode>#,##0</c:formatCode>
                <c:ptCount val="12"/>
                <c:pt idx="0">
                  <c:v>1215600</c:v>
                </c:pt>
                <c:pt idx="1">
                  <c:v>1492200</c:v>
                </c:pt>
                <c:pt idx="2">
                  <c:v>1788800</c:v>
                </c:pt>
                <c:pt idx="3">
                  <c:v>2045400</c:v>
                </c:pt>
                <c:pt idx="4">
                  <c:v>2307000</c:v>
                </c:pt>
                <c:pt idx="5">
                  <c:v>2558600</c:v>
                </c:pt>
                <c:pt idx="6">
                  <c:v>2805200</c:v>
                </c:pt>
                <c:pt idx="7">
                  <c:v>3081800</c:v>
                </c:pt>
                <c:pt idx="8">
                  <c:v>3368400</c:v>
                </c:pt>
                <c:pt idx="9">
                  <c:v>3665000</c:v>
                </c:pt>
                <c:pt idx="10">
                  <c:v>3941600</c:v>
                </c:pt>
                <c:pt idx="11">
                  <c:v>4208200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922-2F43-AE72-8A9DC52C7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4617979"/>
        <c:axId val="74599085"/>
      </c:lineChart>
      <c:catAx>
        <c:axId val="646179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599085"/>
        <c:crosses val="autoZero"/>
        <c:auto val="1"/>
        <c:lblAlgn val="ctr"/>
        <c:lblOffset val="100"/>
        <c:noMultiLvlLbl val="0"/>
      </c:catAx>
      <c:valAx>
        <c:axId val="7459908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Cumulative Spend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6179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sz="1400" b="1" strike="noStrike" spc="-1">
                <a:solidFill>
                  <a:srgbClr val="1B2A4A"/>
                </a:solidFill>
                <a:latin typeface="Arial"/>
              </a:rPr>
              <a:t>Jan 2026 — Spend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3B82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C785-594A-9A1C-012859CB07C1}"/>
              </c:ext>
            </c:extLst>
          </c:dPt>
          <c:dPt>
            <c:idx val="1"/>
            <c:bubble3D val="0"/>
            <c:spPr>
              <a:solidFill>
                <a:srgbClr val="10B98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785-594A-9A1C-012859CB07C1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C785-594A-9A1C-012859CB07C1}"/>
              </c:ext>
            </c:extLst>
          </c:dPt>
          <c:dPt>
            <c:idx val="3"/>
            <c:bubble3D val="0"/>
            <c:spPr>
              <a:solidFill>
                <a:srgbClr val="EF44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C785-594A-9A1C-012859CB07C1}"/>
              </c:ext>
            </c:extLst>
          </c:dPt>
          <c:dPt>
            <c:idx val="4"/>
            <c:bubble3D val="0"/>
            <c:spPr>
              <a:solidFill>
                <a:srgbClr val="8B5C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C785-594A-9A1C-012859CB07C1}"/>
              </c:ext>
            </c:extLst>
          </c:dPt>
          <c:dPt>
            <c:idx val="5"/>
            <c:bubble3D val="0"/>
            <c:spPr>
              <a:solidFill>
                <a:srgbClr val="EC489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C785-594A-9A1C-012859CB07C1}"/>
              </c:ext>
            </c:extLst>
          </c:dPt>
          <c:dPt>
            <c:idx val="6"/>
            <c:bubble3D val="0"/>
            <c:spPr>
              <a:solidFill>
                <a:srgbClr val="06B6D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C785-594A-9A1C-012859CB07C1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C785-594A-9A1C-012859CB07C1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C785-594A-9A1C-012859CB07C1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C785-594A-9A1C-012859CB07C1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C785-594A-9A1C-012859CB07C1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C785-594A-9A1C-012859CB07C1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C785-594A-9A1C-012859CB07C1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C785-594A-9A1C-012859CB07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5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0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'Jan 2026'!$B$19:$B$25</c:f>
              <c:strCache>
                <c:ptCount val="7"/>
                <c:pt idx="0">
                  <c:v>Technology &amp; Software</c:v>
                </c:pt>
                <c:pt idx="1">
                  <c:v>Infrastructure (Office)</c:v>
                </c:pt>
                <c:pt idx="2">
                  <c:v>Device Rental</c:v>
                </c:pt>
                <c:pt idx="3">
                  <c:v>Content Production</c:v>
                </c:pt>
                <c:pt idx="4">
                  <c:v>Marketing &amp; Ads</c:v>
                </c:pt>
                <c:pt idx="5">
                  <c:v>Human Resources</c:v>
                </c:pt>
                <c:pt idx="6">
                  <c:v>Contingency Reserve</c:v>
                </c:pt>
              </c:strCache>
            </c:strRef>
          </c:cat>
          <c:val>
            <c:numRef>
              <c:f>'Jan 2026'!$C$19:$C$25</c:f>
              <c:numCache>
                <c:formatCode>#,##0</c:formatCode>
                <c:ptCount val="7"/>
                <c:pt idx="0">
                  <c:v>22600</c:v>
                </c:pt>
                <c:pt idx="1">
                  <c:v>40000</c:v>
                </c:pt>
                <c:pt idx="2">
                  <c:v>14000</c:v>
                </c:pt>
                <c:pt idx="3">
                  <c:v>30000</c:v>
                </c:pt>
                <c:pt idx="4">
                  <c:v>180000</c:v>
                </c:pt>
                <c:pt idx="5">
                  <c:v>20000</c:v>
                </c:pt>
                <c:pt idx="6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785-594A-9A1C-012859CB0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sz="1400" b="1" strike="noStrike" spc="-1">
                <a:solidFill>
                  <a:srgbClr val="1B2A4A"/>
                </a:solidFill>
                <a:latin typeface="Arial"/>
              </a:rPr>
              <a:t>Jan 2026 — Category Comparison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3B82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CEAA-B84C-A1A2-242832DE6067}"/>
              </c:ext>
            </c:extLst>
          </c:dPt>
          <c:dPt>
            <c:idx val="1"/>
            <c:invertIfNegative val="0"/>
            <c:bubble3D val="0"/>
            <c:spPr>
              <a:solidFill>
                <a:srgbClr val="10B98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EAA-B84C-A1A2-242832DE6067}"/>
              </c:ext>
            </c:extLst>
          </c:dPt>
          <c:dPt>
            <c:idx val="2"/>
            <c:invertIfNegative val="0"/>
            <c:bubble3D val="0"/>
            <c:spPr>
              <a:solidFill>
                <a:srgbClr val="F59E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CEAA-B84C-A1A2-242832DE6067}"/>
              </c:ext>
            </c:extLst>
          </c:dPt>
          <c:dPt>
            <c:idx val="3"/>
            <c:invertIfNegative val="0"/>
            <c:bubble3D val="0"/>
            <c:spPr>
              <a:solidFill>
                <a:srgbClr val="EF44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CEAA-B84C-A1A2-242832DE6067}"/>
              </c:ext>
            </c:extLst>
          </c:dPt>
          <c:dPt>
            <c:idx val="4"/>
            <c:invertIfNegative val="0"/>
            <c:bubble3D val="0"/>
            <c:spPr>
              <a:solidFill>
                <a:srgbClr val="8B5C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CEAA-B84C-A1A2-242832DE6067}"/>
              </c:ext>
            </c:extLst>
          </c:dPt>
          <c:dPt>
            <c:idx val="5"/>
            <c:invertIfNegative val="0"/>
            <c:bubble3D val="0"/>
            <c:spPr>
              <a:solidFill>
                <a:srgbClr val="EC489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CEAA-B84C-A1A2-242832DE6067}"/>
              </c:ext>
            </c:extLst>
          </c:dPt>
          <c:dPt>
            <c:idx val="6"/>
            <c:invertIfNegative val="0"/>
            <c:bubble3D val="0"/>
            <c:spPr>
              <a:solidFill>
                <a:srgbClr val="06B6D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CEAA-B84C-A1A2-242832DE606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CEAA-B84C-A1A2-242832DE606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CEAA-B84C-A1A2-242832DE606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CEAA-B84C-A1A2-242832DE606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CEAA-B84C-A1A2-242832DE6067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CEAA-B84C-A1A2-242832DE6067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CEAA-B84C-A1A2-242832DE6067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CEAA-B84C-A1A2-242832DE60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'Jan 2026'!$B$19:$B$25</c:f>
              <c:strCache>
                <c:ptCount val="7"/>
                <c:pt idx="0">
                  <c:v>Technology &amp; Software</c:v>
                </c:pt>
                <c:pt idx="1">
                  <c:v>Infrastructure (Office)</c:v>
                </c:pt>
                <c:pt idx="2">
                  <c:v>Device Rental</c:v>
                </c:pt>
                <c:pt idx="3">
                  <c:v>Content Production</c:v>
                </c:pt>
                <c:pt idx="4">
                  <c:v>Marketing &amp; Ads</c:v>
                </c:pt>
                <c:pt idx="5">
                  <c:v>Human Resources</c:v>
                </c:pt>
                <c:pt idx="6">
                  <c:v>Contingency Reserve</c:v>
                </c:pt>
              </c:strCache>
            </c:strRef>
          </c:cat>
          <c:val>
            <c:numRef>
              <c:f>'Jan 2026'!$C$19:$C$25</c:f>
              <c:numCache>
                <c:formatCode>#,##0</c:formatCode>
                <c:ptCount val="7"/>
                <c:pt idx="0">
                  <c:v>22600</c:v>
                </c:pt>
                <c:pt idx="1">
                  <c:v>40000</c:v>
                </c:pt>
                <c:pt idx="2">
                  <c:v>14000</c:v>
                </c:pt>
                <c:pt idx="3">
                  <c:v>30000</c:v>
                </c:pt>
                <c:pt idx="4">
                  <c:v>180000</c:v>
                </c:pt>
                <c:pt idx="5">
                  <c:v>20000</c:v>
                </c:pt>
                <c:pt idx="6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EAA-B84C-A1A2-242832DE6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319248"/>
        <c:axId val="63974925"/>
      </c:barChart>
      <c:catAx>
        <c:axId val="523192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974925"/>
        <c:crosses val="autoZero"/>
        <c:auto val="1"/>
        <c:lblAlgn val="ctr"/>
        <c:lblOffset val="100"/>
        <c:noMultiLvlLbl val="0"/>
      </c:catAx>
      <c:valAx>
        <c:axId val="639749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3192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Feb 2026 — Spend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3B82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87AE-8F47-BAB5-0FCA6333B0C6}"/>
              </c:ext>
            </c:extLst>
          </c:dPt>
          <c:dPt>
            <c:idx val="1"/>
            <c:bubble3D val="0"/>
            <c:spPr>
              <a:solidFill>
                <a:srgbClr val="10B98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7AE-8F47-BAB5-0FCA6333B0C6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7AE-8F47-BAB5-0FCA6333B0C6}"/>
              </c:ext>
            </c:extLst>
          </c:dPt>
          <c:dPt>
            <c:idx val="3"/>
            <c:bubble3D val="0"/>
            <c:spPr>
              <a:solidFill>
                <a:srgbClr val="EF44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87AE-8F47-BAB5-0FCA6333B0C6}"/>
              </c:ext>
            </c:extLst>
          </c:dPt>
          <c:dPt>
            <c:idx val="4"/>
            <c:bubble3D val="0"/>
            <c:spPr>
              <a:solidFill>
                <a:srgbClr val="8B5C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87AE-8F47-BAB5-0FCA6333B0C6}"/>
              </c:ext>
            </c:extLst>
          </c:dPt>
          <c:dPt>
            <c:idx val="5"/>
            <c:bubble3D val="0"/>
            <c:spPr>
              <a:solidFill>
                <a:srgbClr val="EC489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87AE-8F47-BAB5-0FCA6333B0C6}"/>
              </c:ext>
            </c:extLst>
          </c:dPt>
          <c:dPt>
            <c:idx val="6"/>
            <c:bubble3D val="0"/>
            <c:spPr>
              <a:solidFill>
                <a:srgbClr val="06B6D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87AE-8F47-BAB5-0FCA6333B0C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87AE-8F47-BAB5-0FCA6333B0C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87AE-8F47-BAB5-0FCA6333B0C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87AE-8F47-BAB5-0FCA6333B0C6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87AE-8F47-BAB5-0FCA6333B0C6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87AE-8F47-BAB5-0FCA6333B0C6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87AE-8F47-BAB5-0FCA6333B0C6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87AE-8F47-BAB5-0FCA6333B0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5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0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'Feb 2026'!$B$6:$B$12</c:f>
              <c:strCache>
                <c:ptCount val="7"/>
                <c:pt idx="0">
                  <c:v>Technology &amp; Software</c:v>
                </c:pt>
                <c:pt idx="1">
                  <c:v>Infrastructure (Office)</c:v>
                </c:pt>
                <c:pt idx="2">
                  <c:v>Device Rental</c:v>
                </c:pt>
                <c:pt idx="3">
                  <c:v>Content Production</c:v>
                </c:pt>
                <c:pt idx="4">
                  <c:v>Marketing &amp; Ads</c:v>
                </c:pt>
                <c:pt idx="5">
                  <c:v>Human Resources</c:v>
                </c:pt>
                <c:pt idx="6">
                  <c:v>Contingency Reserve</c:v>
                </c:pt>
              </c:strCache>
            </c:strRef>
          </c:cat>
          <c:val>
            <c:numRef>
              <c:f>'Feb 2026'!$C$6:$C$12</c:f>
              <c:numCache>
                <c:formatCode>#,##0</c:formatCode>
                <c:ptCount val="7"/>
                <c:pt idx="0">
                  <c:v>22600</c:v>
                </c:pt>
                <c:pt idx="1">
                  <c:v>40000</c:v>
                </c:pt>
                <c:pt idx="2">
                  <c:v>14000</c:v>
                </c:pt>
                <c:pt idx="3">
                  <c:v>30000</c:v>
                </c:pt>
                <c:pt idx="4">
                  <c:v>130000</c:v>
                </c:pt>
                <c:pt idx="5">
                  <c:v>20000</c:v>
                </c:pt>
                <c:pt idx="6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7AE-8F47-BAB5-0FCA6333B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Feb 2026 — Category Comparison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3B82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AD53-9C42-A660-1C259CA725D5}"/>
              </c:ext>
            </c:extLst>
          </c:dPt>
          <c:dPt>
            <c:idx val="1"/>
            <c:invertIfNegative val="0"/>
            <c:bubble3D val="0"/>
            <c:spPr>
              <a:solidFill>
                <a:srgbClr val="10B98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D53-9C42-A660-1C259CA725D5}"/>
              </c:ext>
            </c:extLst>
          </c:dPt>
          <c:dPt>
            <c:idx val="2"/>
            <c:invertIfNegative val="0"/>
            <c:bubble3D val="0"/>
            <c:spPr>
              <a:solidFill>
                <a:srgbClr val="F59E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D53-9C42-A660-1C259CA725D5}"/>
              </c:ext>
            </c:extLst>
          </c:dPt>
          <c:dPt>
            <c:idx val="3"/>
            <c:invertIfNegative val="0"/>
            <c:bubble3D val="0"/>
            <c:spPr>
              <a:solidFill>
                <a:srgbClr val="EF44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AD53-9C42-A660-1C259CA725D5}"/>
              </c:ext>
            </c:extLst>
          </c:dPt>
          <c:dPt>
            <c:idx val="4"/>
            <c:invertIfNegative val="0"/>
            <c:bubble3D val="0"/>
            <c:spPr>
              <a:solidFill>
                <a:srgbClr val="8B5C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AD53-9C42-A660-1C259CA725D5}"/>
              </c:ext>
            </c:extLst>
          </c:dPt>
          <c:dPt>
            <c:idx val="5"/>
            <c:invertIfNegative val="0"/>
            <c:bubble3D val="0"/>
            <c:spPr>
              <a:solidFill>
                <a:srgbClr val="EC489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AD53-9C42-A660-1C259CA725D5}"/>
              </c:ext>
            </c:extLst>
          </c:dPt>
          <c:dPt>
            <c:idx val="6"/>
            <c:invertIfNegative val="0"/>
            <c:bubble3D val="0"/>
            <c:spPr>
              <a:solidFill>
                <a:srgbClr val="06B6D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AD53-9C42-A660-1C259CA725D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AD53-9C42-A660-1C259CA725D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AD53-9C42-A660-1C259CA725D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AD53-9C42-A660-1C259CA725D5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AD53-9C42-A660-1C259CA725D5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AD53-9C42-A660-1C259CA725D5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AD53-9C42-A660-1C259CA725D5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AD53-9C42-A660-1C259CA725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'Feb 2026'!$B$6:$B$12</c:f>
              <c:strCache>
                <c:ptCount val="7"/>
                <c:pt idx="0">
                  <c:v>Technology &amp; Software</c:v>
                </c:pt>
                <c:pt idx="1">
                  <c:v>Infrastructure (Office)</c:v>
                </c:pt>
                <c:pt idx="2">
                  <c:v>Device Rental</c:v>
                </c:pt>
                <c:pt idx="3">
                  <c:v>Content Production</c:v>
                </c:pt>
                <c:pt idx="4">
                  <c:v>Marketing &amp; Ads</c:v>
                </c:pt>
                <c:pt idx="5">
                  <c:v>Human Resources</c:v>
                </c:pt>
                <c:pt idx="6">
                  <c:v>Contingency Reserve</c:v>
                </c:pt>
              </c:strCache>
            </c:strRef>
          </c:cat>
          <c:val>
            <c:numRef>
              <c:f>'Feb 2026'!$C$6:$C$12</c:f>
              <c:numCache>
                <c:formatCode>#,##0</c:formatCode>
                <c:ptCount val="7"/>
                <c:pt idx="0">
                  <c:v>22600</c:v>
                </c:pt>
                <c:pt idx="1">
                  <c:v>40000</c:v>
                </c:pt>
                <c:pt idx="2">
                  <c:v>14000</c:v>
                </c:pt>
                <c:pt idx="3">
                  <c:v>30000</c:v>
                </c:pt>
                <c:pt idx="4">
                  <c:v>130000</c:v>
                </c:pt>
                <c:pt idx="5">
                  <c:v>20000</c:v>
                </c:pt>
                <c:pt idx="6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D53-9C42-A660-1C259CA72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740473"/>
        <c:axId val="42514652"/>
      </c:barChart>
      <c:catAx>
        <c:axId val="8874047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514652"/>
        <c:crosses val="autoZero"/>
        <c:auto val="1"/>
        <c:lblAlgn val="ctr"/>
        <c:lblOffset val="100"/>
        <c:noMultiLvlLbl val="0"/>
      </c:catAx>
      <c:valAx>
        <c:axId val="4251465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7404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Mar 2026 — Spend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3B82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9E58-5D47-BA19-1AC9A963A9B1}"/>
              </c:ext>
            </c:extLst>
          </c:dPt>
          <c:dPt>
            <c:idx val="1"/>
            <c:bubble3D val="0"/>
            <c:spPr>
              <a:solidFill>
                <a:srgbClr val="10B98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E58-5D47-BA19-1AC9A963A9B1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9E58-5D47-BA19-1AC9A963A9B1}"/>
              </c:ext>
            </c:extLst>
          </c:dPt>
          <c:dPt>
            <c:idx val="3"/>
            <c:bubble3D val="0"/>
            <c:spPr>
              <a:solidFill>
                <a:srgbClr val="EF44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9E58-5D47-BA19-1AC9A963A9B1}"/>
              </c:ext>
            </c:extLst>
          </c:dPt>
          <c:dPt>
            <c:idx val="4"/>
            <c:bubble3D val="0"/>
            <c:spPr>
              <a:solidFill>
                <a:srgbClr val="8B5C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9E58-5D47-BA19-1AC9A963A9B1}"/>
              </c:ext>
            </c:extLst>
          </c:dPt>
          <c:dPt>
            <c:idx val="5"/>
            <c:bubble3D val="0"/>
            <c:spPr>
              <a:solidFill>
                <a:srgbClr val="EC489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9E58-5D47-BA19-1AC9A963A9B1}"/>
              </c:ext>
            </c:extLst>
          </c:dPt>
          <c:dPt>
            <c:idx val="6"/>
            <c:bubble3D val="0"/>
            <c:spPr>
              <a:solidFill>
                <a:srgbClr val="06B6D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9E58-5D47-BA19-1AC9A963A9B1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9E58-5D47-BA19-1AC9A963A9B1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9E58-5D47-BA19-1AC9A963A9B1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9E58-5D47-BA19-1AC9A963A9B1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9E58-5D47-BA19-1AC9A963A9B1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9E58-5D47-BA19-1AC9A963A9B1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9E58-5D47-BA19-1AC9A963A9B1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9E58-5D47-BA19-1AC9A963A9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5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0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'Mar 2026'!$B$6:$B$12</c:f>
              <c:strCache>
                <c:ptCount val="7"/>
                <c:pt idx="0">
                  <c:v>Technology &amp; Software</c:v>
                </c:pt>
                <c:pt idx="1">
                  <c:v>Infrastructure (Office)</c:v>
                </c:pt>
                <c:pt idx="2">
                  <c:v>Device Rental</c:v>
                </c:pt>
                <c:pt idx="3">
                  <c:v>Content Production</c:v>
                </c:pt>
                <c:pt idx="4">
                  <c:v>Marketing &amp; Ads</c:v>
                </c:pt>
                <c:pt idx="5">
                  <c:v>Human Resources</c:v>
                </c:pt>
                <c:pt idx="6">
                  <c:v>Contingency Reserve</c:v>
                </c:pt>
              </c:strCache>
            </c:strRef>
          </c:cat>
          <c:val>
            <c:numRef>
              <c:f>'Mar 2026'!$C$6:$C$12</c:f>
              <c:numCache>
                <c:formatCode>#,##0</c:formatCode>
                <c:ptCount val="7"/>
                <c:pt idx="0">
                  <c:v>22600</c:v>
                </c:pt>
                <c:pt idx="1">
                  <c:v>40000</c:v>
                </c:pt>
                <c:pt idx="2">
                  <c:v>14000</c:v>
                </c:pt>
                <c:pt idx="3">
                  <c:v>30000</c:v>
                </c:pt>
                <c:pt idx="4">
                  <c:v>150000</c:v>
                </c:pt>
                <c:pt idx="5">
                  <c:v>20000</c:v>
                </c:pt>
                <c:pt idx="6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E58-5D47-BA19-1AC9A963A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Mar 2026 — Category Comparison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3B82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F394-9845-B736-37751E0CE2BB}"/>
              </c:ext>
            </c:extLst>
          </c:dPt>
          <c:dPt>
            <c:idx val="1"/>
            <c:invertIfNegative val="0"/>
            <c:bubble3D val="0"/>
            <c:spPr>
              <a:solidFill>
                <a:srgbClr val="10B98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394-9845-B736-37751E0CE2BB}"/>
              </c:ext>
            </c:extLst>
          </c:dPt>
          <c:dPt>
            <c:idx val="2"/>
            <c:invertIfNegative val="0"/>
            <c:bubble3D val="0"/>
            <c:spPr>
              <a:solidFill>
                <a:srgbClr val="F59E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394-9845-B736-37751E0CE2BB}"/>
              </c:ext>
            </c:extLst>
          </c:dPt>
          <c:dPt>
            <c:idx val="3"/>
            <c:invertIfNegative val="0"/>
            <c:bubble3D val="0"/>
            <c:spPr>
              <a:solidFill>
                <a:srgbClr val="EF44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F394-9845-B736-37751E0CE2BB}"/>
              </c:ext>
            </c:extLst>
          </c:dPt>
          <c:dPt>
            <c:idx val="4"/>
            <c:invertIfNegative val="0"/>
            <c:bubble3D val="0"/>
            <c:spPr>
              <a:solidFill>
                <a:srgbClr val="8B5C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F394-9845-B736-37751E0CE2BB}"/>
              </c:ext>
            </c:extLst>
          </c:dPt>
          <c:dPt>
            <c:idx val="5"/>
            <c:invertIfNegative val="0"/>
            <c:bubble3D val="0"/>
            <c:spPr>
              <a:solidFill>
                <a:srgbClr val="EC489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F394-9845-B736-37751E0CE2BB}"/>
              </c:ext>
            </c:extLst>
          </c:dPt>
          <c:dPt>
            <c:idx val="6"/>
            <c:invertIfNegative val="0"/>
            <c:bubble3D val="0"/>
            <c:spPr>
              <a:solidFill>
                <a:srgbClr val="06B6D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F394-9845-B736-37751E0CE2B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F394-9845-B736-37751E0CE2B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F394-9845-B736-37751E0CE2B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F394-9845-B736-37751E0CE2BB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F394-9845-B736-37751E0CE2BB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F394-9845-B736-37751E0CE2BB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F394-9845-B736-37751E0CE2BB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F394-9845-B736-37751E0CE2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 2026'!$B$6:$B$12</c:f>
              <c:strCache>
                <c:ptCount val="7"/>
                <c:pt idx="0">
                  <c:v>Technology &amp; Software</c:v>
                </c:pt>
                <c:pt idx="1">
                  <c:v>Infrastructure (Office)</c:v>
                </c:pt>
                <c:pt idx="2">
                  <c:v>Device Rental</c:v>
                </c:pt>
                <c:pt idx="3">
                  <c:v>Content Production</c:v>
                </c:pt>
                <c:pt idx="4">
                  <c:v>Marketing &amp; Ads</c:v>
                </c:pt>
                <c:pt idx="5">
                  <c:v>Human Resources</c:v>
                </c:pt>
                <c:pt idx="6">
                  <c:v>Contingency Reserve</c:v>
                </c:pt>
              </c:strCache>
            </c:strRef>
          </c:cat>
          <c:val>
            <c:numRef>
              <c:f>'Mar 2026'!$C$6:$C$12</c:f>
              <c:numCache>
                <c:formatCode>#,##0</c:formatCode>
                <c:ptCount val="7"/>
                <c:pt idx="0">
                  <c:v>22600</c:v>
                </c:pt>
                <c:pt idx="1">
                  <c:v>40000</c:v>
                </c:pt>
                <c:pt idx="2">
                  <c:v>14000</c:v>
                </c:pt>
                <c:pt idx="3">
                  <c:v>30000</c:v>
                </c:pt>
                <c:pt idx="4">
                  <c:v>150000</c:v>
                </c:pt>
                <c:pt idx="5">
                  <c:v>20000</c:v>
                </c:pt>
                <c:pt idx="6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394-9845-B736-37751E0CE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253697"/>
        <c:axId val="42923921"/>
      </c:barChart>
      <c:catAx>
        <c:axId val="9225369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923921"/>
        <c:crosses val="autoZero"/>
        <c:auto val="1"/>
        <c:lblAlgn val="ctr"/>
        <c:lblOffset val="100"/>
        <c:noMultiLvlLbl val="0"/>
      </c:catAx>
      <c:valAx>
        <c:axId val="4292392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2536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Apr 2026 — Spend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3B82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41FD-DB42-9425-B7C2FA8147FB}"/>
              </c:ext>
            </c:extLst>
          </c:dPt>
          <c:dPt>
            <c:idx val="1"/>
            <c:bubble3D val="0"/>
            <c:spPr>
              <a:solidFill>
                <a:srgbClr val="10B98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1FD-DB42-9425-B7C2FA8147FB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1FD-DB42-9425-B7C2FA8147FB}"/>
              </c:ext>
            </c:extLst>
          </c:dPt>
          <c:dPt>
            <c:idx val="3"/>
            <c:bubble3D val="0"/>
            <c:spPr>
              <a:solidFill>
                <a:srgbClr val="EF44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41FD-DB42-9425-B7C2FA8147FB}"/>
              </c:ext>
            </c:extLst>
          </c:dPt>
          <c:dPt>
            <c:idx val="4"/>
            <c:bubble3D val="0"/>
            <c:spPr>
              <a:solidFill>
                <a:srgbClr val="8B5C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41FD-DB42-9425-B7C2FA8147FB}"/>
              </c:ext>
            </c:extLst>
          </c:dPt>
          <c:dPt>
            <c:idx val="5"/>
            <c:bubble3D val="0"/>
            <c:spPr>
              <a:solidFill>
                <a:srgbClr val="EC489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41FD-DB42-9425-B7C2FA8147FB}"/>
              </c:ext>
            </c:extLst>
          </c:dPt>
          <c:dPt>
            <c:idx val="6"/>
            <c:bubble3D val="0"/>
            <c:spPr>
              <a:solidFill>
                <a:srgbClr val="06B6D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41FD-DB42-9425-B7C2FA8147F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41FD-DB42-9425-B7C2FA8147F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41FD-DB42-9425-B7C2FA8147F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41FD-DB42-9425-B7C2FA8147FB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41FD-DB42-9425-B7C2FA8147FB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41FD-DB42-9425-B7C2FA8147FB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41FD-DB42-9425-B7C2FA8147FB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41FD-DB42-9425-B7C2FA8147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5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0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'Apr 2026'!$B$6:$B$12</c:f>
              <c:strCache>
                <c:ptCount val="7"/>
                <c:pt idx="0">
                  <c:v>Technology &amp; Software</c:v>
                </c:pt>
                <c:pt idx="1">
                  <c:v>Infrastructure (Office)</c:v>
                </c:pt>
                <c:pt idx="2">
                  <c:v>Device Rental</c:v>
                </c:pt>
                <c:pt idx="3">
                  <c:v>Content Production</c:v>
                </c:pt>
                <c:pt idx="4">
                  <c:v>Marketing &amp; Ads</c:v>
                </c:pt>
                <c:pt idx="5">
                  <c:v>Human Resources</c:v>
                </c:pt>
                <c:pt idx="6">
                  <c:v>Contingency Reserve</c:v>
                </c:pt>
              </c:strCache>
            </c:strRef>
          </c:cat>
          <c:val>
            <c:numRef>
              <c:f>'Apr 2026'!$C$6:$C$12</c:f>
              <c:numCache>
                <c:formatCode>#,##0</c:formatCode>
                <c:ptCount val="7"/>
                <c:pt idx="0">
                  <c:v>22600</c:v>
                </c:pt>
                <c:pt idx="1">
                  <c:v>40000</c:v>
                </c:pt>
                <c:pt idx="2">
                  <c:v>14000</c:v>
                </c:pt>
                <c:pt idx="3">
                  <c:v>30000</c:v>
                </c:pt>
                <c:pt idx="4">
                  <c:v>110000</c:v>
                </c:pt>
                <c:pt idx="5">
                  <c:v>20000</c:v>
                </c:pt>
                <c:pt idx="6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1FD-DB42-9425-B7C2FA814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Apr 2026 — Category Comparison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3B82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4C28-9A49-94DE-B15895358330}"/>
              </c:ext>
            </c:extLst>
          </c:dPt>
          <c:dPt>
            <c:idx val="1"/>
            <c:invertIfNegative val="0"/>
            <c:bubble3D val="0"/>
            <c:spPr>
              <a:solidFill>
                <a:srgbClr val="10B98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C28-9A49-94DE-B15895358330}"/>
              </c:ext>
            </c:extLst>
          </c:dPt>
          <c:dPt>
            <c:idx val="2"/>
            <c:invertIfNegative val="0"/>
            <c:bubble3D val="0"/>
            <c:spPr>
              <a:solidFill>
                <a:srgbClr val="F59E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C28-9A49-94DE-B15895358330}"/>
              </c:ext>
            </c:extLst>
          </c:dPt>
          <c:dPt>
            <c:idx val="3"/>
            <c:invertIfNegative val="0"/>
            <c:bubble3D val="0"/>
            <c:spPr>
              <a:solidFill>
                <a:srgbClr val="EF44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4C28-9A49-94DE-B15895358330}"/>
              </c:ext>
            </c:extLst>
          </c:dPt>
          <c:dPt>
            <c:idx val="4"/>
            <c:invertIfNegative val="0"/>
            <c:bubble3D val="0"/>
            <c:spPr>
              <a:solidFill>
                <a:srgbClr val="8B5C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4C28-9A49-94DE-B15895358330}"/>
              </c:ext>
            </c:extLst>
          </c:dPt>
          <c:dPt>
            <c:idx val="5"/>
            <c:invertIfNegative val="0"/>
            <c:bubble3D val="0"/>
            <c:spPr>
              <a:solidFill>
                <a:srgbClr val="EC489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4C28-9A49-94DE-B15895358330}"/>
              </c:ext>
            </c:extLst>
          </c:dPt>
          <c:dPt>
            <c:idx val="6"/>
            <c:invertIfNegative val="0"/>
            <c:bubble3D val="0"/>
            <c:spPr>
              <a:solidFill>
                <a:srgbClr val="06B6D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4C28-9A49-94DE-B1589535833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4C28-9A49-94DE-B1589535833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4C28-9A49-94DE-B1589535833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4C28-9A49-94DE-B15895358330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4C28-9A49-94DE-B15895358330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4C28-9A49-94DE-B15895358330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4C28-9A49-94DE-B15895358330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4C28-9A49-94DE-B15895358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'Apr 2026'!$B$6:$B$12</c:f>
              <c:strCache>
                <c:ptCount val="7"/>
                <c:pt idx="0">
                  <c:v>Technology &amp; Software</c:v>
                </c:pt>
                <c:pt idx="1">
                  <c:v>Infrastructure (Office)</c:v>
                </c:pt>
                <c:pt idx="2">
                  <c:v>Device Rental</c:v>
                </c:pt>
                <c:pt idx="3">
                  <c:v>Content Production</c:v>
                </c:pt>
                <c:pt idx="4">
                  <c:v>Marketing &amp; Ads</c:v>
                </c:pt>
                <c:pt idx="5">
                  <c:v>Human Resources</c:v>
                </c:pt>
                <c:pt idx="6">
                  <c:v>Contingency Reserve</c:v>
                </c:pt>
              </c:strCache>
            </c:strRef>
          </c:cat>
          <c:val>
            <c:numRef>
              <c:f>'Apr 2026'!$C$6:$C$12</c:f>
              <c:numCache>
                <c:formatCode>#,##0</c:formatCode>
                <c:ptCount val="7"/>
                <c:pt idx="0">
                  <c:v>22600</c:v>
                </c:pt>
                <c:pt idx="1">
                  <c:v>40000</c:v>
                </c:pt>
                <c:pt idx="2">
                  <c:v>14000</c:v>
                </c:pt>
                <c:pt idx="3">
                  <c:v>30000</c:v>
                </c:pt>
                <c:pt idx="4">
                  <c:v>110000</c:v>
                </c:pt>
                <c:pt idx="5">
                  <c:v>20000</c:v>
                </c:pt>
                <c:pt idx="6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C28-9A49-94DE-B15895358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70014"/>
        <c:axId val="59022725"/>
      </c:barChart>
      <c:catAx>
        <c:axId val="1407001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022725"/>
        <c:crosses val="autoZero"/>
        <c:auto val="1"/>
        <c:lblAlgn val="ctr"/>
        <c:lblOffset val="100"/>
        <c:noMultiLvlLbl val="0"/>
      </c:catAx>
      <c:valAx>
        <c:axId val="590227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0700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May 2026 — Spend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3B82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F8F4-5B4E-8BB2-B19C9FDB31B7}"/>
              </c:ext>
            </c:extLst>
          </c:dPt>
          <c:dPt>
            <c:idx val="1"/>
            <c:bubble3D val="0"/>
            <c:spPr>
              <a:solidFill>
                <a:srgbClr val="10B98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8F4-5B4E-8BB2-B19C9FDB31B7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8F4-5B4E-8BB2-B19C9FDB31B7}"/>
              </c:ext>
            </c:extLst>
          </c:dPt>
          <c:dPt>
            <c:idx val="3"/>
            <c:bubble3D val="0"/>
            <c:spPr>
              <a:solidFill>
                <a:srgbClr val="EF44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F8F4-5B4E-8BB2-B19C9FDB31B7}"/>
              </c:ext>
            </c:extLst>
          </c:dPt>
          <c:dPt>
            <c:idx val="4"/>
            <c:bubble3D val="0"/>
            <c:spPr>
              <a:solidFill>
                <a:srgbClr val="8B5C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F8F4-5B4E-8BB2-B19C9FDB31B7}"/>
              </c:ext>
            </c:extLst>
          </c:dPt>
          <c:dPt>
            <c:idx val="5"/>
            <c:bubble3D val="0"/>
            <c:spPr>
              <a:solidFill>
                <a:srgbClr val="EC489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F8F4-5B4E-8BB2-B19C9FDB31B7}"/>
              </c:ext>
            </c:extLst>
          </c:dPt>
          <c:dPt>
            <c:idx val="6"/>
            <c:bubble3D val="0"/>
            <c:spPr>
              <a:solidFill>
                <a:srgbClr val="06B6D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F8F4-5B4E-8BB2-B19C9FDB31B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F8F4-5B4E-8BB2-B19C9FDB31B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F8F4-5B4E-8BB2-B19C9FDB31B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F8F4-5B4E-8BB2-B19C9FDB31B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F8F4-5B4E-8BB2-B19C9FDB31B7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F8F4-5B4E-8BB2-B19C9FDB31B7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F8F4-5B4E-8BB2-B19C9FDB31B7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F8F4-5B4E-8BB2-B19C9FDB31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5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0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'May 2026'!$B$6:$B$12</c:f>
              <c:strCache>
                <c:ptCount val="7"/>
                <c:pt idx="0">
                  <c:v>Technology &amp; Software</c:v>
                </c:pt>
                <c:pt idx="1">
                  <c:v>Infrastructure (Office)</c:v>
                </c:pt>
                <c:pt idx="2">
                  <c:v>Device Rental</c:v>
                </c:pt>
                <c:pt idx="3">
                  <c:v>Content Production</c:v>
                </c:pt>
                <c:pt idx="4">
                  <c:v>Marketing &amp; Ads</c:v>
                </c:pt>
                <c:pt idx="5">
                  <c:v>Human Resources</c:v>
                </c:pt>
                <c:pt idx="6">
                  <c:v>Contingency Reserve</c:v>
                </c:pt>
              </c:strCache>
            </c:strRef>
          </c:cat>
          <c:val>
            <c:numRef>
              <c:f>'May 2026'!$C$6:$C$12</c:f>
              <c:numCache>
                <c:formatCode>#,##0</c:formatCode>
                <c:ptCount val="7"/>
                <c:pt idx="0">
                  <c:v>22600</c:v>
                </c:pt>
                <c:pt idx="1">
                  <c:v>40000</c:v>
                </c:pt>
                <c:pt idx="2">
                  <c:v>14000</c:v>
                </c:pt>
                <c:pt idx="3">
                  <c:v>30000</c:v>
                </c:pt>
                <c:pt idx="4">
                  <c:v>115000</c:v>
                </c:pt>
                <c:pt idx="5">
                  <c:v>20000</c:v>
                </c:pt>
                <c:pt idx="6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8F4-5B4E-8BB2-B19C9FDB3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May 2026 — Category Comparison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3B82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CBF5-AE49-B6B1-0801EB38B62A}"/>
              </c:ext>
            </c:extLst>
          </c:dPt>
          <c:dPt>
            <c:idx val="1"/>
            <c:invertIfNegative val="0"/>
            <c:bubble3D val="0"/>
            <c:spPr>
              <a:solidFill>
                <a:srgbClr val="10B98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BF5-AE49-B6B1-0801EB38B62A}"/>
              </c:ext>
            </c:extLst>
          </c:dPt>
          <c:dPt>
            <c:idx val="2"/>
            <c:invertIfNegative val="0"/>
            <c:bubble3D val="0"/>
            <c:spPr>
              <a:solidFill>
                <a:srgbClr val="F59E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CBF5-AE49-B6B1-0801EB38B62A}"/>
              </c:ext>
            </c:extLst>
          </c:dPt>
          <c:dPt>
            <c:idx val="3"/>
            <c:invertIfNegative val="0"/>
            <c:bubble3D val="0"/>
            <c:spPr>
              <a:solidFill>
                <a:srgbClr val="EF44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CBF5-AE49-B6B1-0801EB38B62A}"/>
              </c:ext>
            </c:extLst>
          </c:dPt>
          <c:dPt>
            <c:idx val="4"/>
            <c:invertIfNegative val="0"/>
            <c:bubble3D val="0"/>
            <c:spPr>
              <a:solidFill>
                <a:srgbClr val="8B5C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CBF5-AE49-B6B1-0801EB38B62A}"/>
              </c:ext>
            </c:extLst>
          </c:dPt>
          <c:dPt>
            <c:idx val="5"/>
            <c:invertIfNegative val="0"/>
            <c:bubble3D val="0"/>
            <c:spPr>
              <a:solidFill>
                <a:srgbClr val="EC489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CBF5-AE49-B6B1-0801EB38B62A}"/>
              </c:ext>
            </c:extLst>
          </c:dPt>
          <c:dPt>
            <c:idx val="6"/>
            <c:invertIfNegative val="0"/>
            <c:bubble3D val="0"/>
            <c:spPr>
              <a:solidFill>
                <a:srgbClr val="06B6D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CBF5-AE49-B6B1-0801EB38B62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CBF5-AE49-B6B1-0801EB38B62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CBF5-AE49-B6B1-0801EB38B62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CBF5-AE49-B6B1-0801EB38B62A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CBF5-AE49-B6B1-0801EB38B62A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CBF5-AE49-B6B1-0801EB38B62A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CBF5-AE49-B6B1-0801EB38B62A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CBF5-AE49-B6B1-0801EB38B6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'May 2026'!$B$6:$B$12</c:f>
              <c:strCache>
                <c:ptCount val="7"/>
                <c:pt idx="0">
                  <c:v>Technology &amp; Software</c:v>
                </c:pt>
                <c:pt idx="1">
                  <c:v>Infrastructure (Office)</c:v>
                </c:pt>
                <c:pt idx="2">
                  <c:v>Device Rental</c:v>
                </c:pt>
                <c:pt idx="3">
                  <c:v>Content Production</c:v>
                </c:pt>
                <c:pt idx="4">
                  <c:v>Marketing &amp; Ads</c:v>
                </c:pt>
                <c:pt idx="5">
                  <c:v>Human Resources</c:v>
                </c:pt>
                <c:pt idx="6">
                  <c:v>Contingency Reserve</c:v>
                </c:pt>
              </c:strCache>
            </c:strRef>
          </c:cat>
          <c:val>
            <c:numRef>
              <c:f>'May 2026'!$C$6:$C$12</c:f>
              <c:numCache>
                <c:formatCode>#,##0</c:formatCode>
                <c:ptCount val="7"/>
                <c:pt idx="0">
                  <c:v>22600</c:v>
                </c:pt>
                <c:pt idx="1">
                  <c:v>40000</c:v>
                </c:pt>
                <c:pt idx="2">
                  <c:v>14000</c:v>
                </c:pt>
                <c:pt idx="3">
                  <c:v>30000</c:v>
                </c:pt>
                <c:pt idx="4">
                  <c:v>115000</c:v>
                </c:pt>
                <c:pt idx="5">
                  <c:v>20000</c:v>
                </c:pt>
                <c:pt idx="6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BF5-AE49-B6B1-0801EB38B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39257"/>
        <c:axId val="13165409"/>
      </c:barChart>
      <c:catAx>
        <c:axId val="953925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165409"/>
        <c:crosses val="autoZero"/>
        <c:auto val="1"/>
        <c:lblAlgn val="ctr"/>
        <c:lblOffset val="100"/>
        <c:noMultiLvlLbl val="0"/>
      </c:catAx>
      <c:valAx>
        <c:axId val="1316540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392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Jun 2026 — Spend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3B82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F9EB-5E47-962C-E3A01F175718}"/>
              </c:ext>
            </c:extLst>
          </c:dPt>
          <c:dPt>
            <c:idx val="1"/>
            <c:bubble3D val="0"/>
            <c:spPr>
              <a:solidFill>
                <a:srgbClr val="10B98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9EB-5E47-962C-E3A01F175718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9EB-5E47-962C-E3A01F175718}"/>
              </c:ext>
            </c:extLst>
          </c:dPt>
          <c:dPt>
            <c:idx val="3"/>
            <c:bubble3D val="0"/>
            <c:spPr>
              <a:solidFill>
                <a:srgbClr val="EF44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F9EB-5E47-962C-E3A01F175718}"/>
              </c:ext>
            </c:extLst>
          </c:dPt>
          <c:dPt>
            <c:idx val="4"/>
            <c:bubble3D val="0"/>
            <c:spPr>
              <a:solidFill>
                <a:srgbClr val="8B5C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F9EB-5E47-962C-E3A01F175718}"/>
              </c:ext>
            </c:extLst>
          </c:dPt>
          <c:dPt>
            <c:idx val="5"/>
            <c:bubble3D val="0"/>
            <c:spPr>
              <a:solidFill>
                <a:srgbClr val="EC489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F9EB-5E47-962C-E3A01F175718}"/>
              </c:ext>
            </c:extLst>
          </c:dPt>
          <c:dPt>
            <c:idx val="6"/>
            <c:bubble3D val="0"/>
            <c:spPr>
              <a:solidFill>
                <a:srgbClr val="06B6D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F9EB-5E47-962C-E3A01F17571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F9EB-5E47-962C-E3A01F17571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F9EB-5E47-962C-E3A01F17571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F9EB-5E47-962C-E3A01F175718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F9EB-5E47-962C-E3A01F175718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F9EB-5E47-962C-E3A01F175718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F9EB-5E47-962C-E3A01F175718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F9EB-5E47-962C-E3A01F1757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5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0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'Jun 2026'!$B$6:$B$12</c:f>
              <c:strCache>
                <c:ptCount val="7"/>
                <c:pt idx="0">
                  <c:v>Technology &amp; Software</c:v>
                </c:pt>
                <c:pt idx="1">
                  <c:v>Infrastructure (Office)</c:v>
                </c:pt>
                <c:pt idx="2">
                  <c:v>Device Rental</c:v>
                </c:pt>
                <c:pt idx="3">
                  <c:v>Content Production</c:v>
                </c:pt>
                <c:pt idx="4">
                  <c:v>Marketing &amp; Ads</c:v>
                </c:pt>
                <c:pt idx="5">
                  <c:v>Human Resources</c:v>
                </c:pt>
                <c:pt idx="6">
                  <c:v>Contingency Reserve</c:v>
                </c:pt>
              </c:strCache>
            </c:strRef>
          </c:cat>
          <c:val>
            <c:numRef>
              <c:f>'Jun 2026'!$C$6:$C$12</c:f>
              <c:numCache>
                <c:formatCode>#,##0</c:formatCode>
                <c:ptCount val="7"/>
                <c:pt idx="0">
                  <c:v>22600</c:v>
                </c:pt>
                <c:pt idx="1">
                  <c:v>40000</c:v>
                </c:pt>
                <c:pt idx="2">
                  <c:v>14000</c:v>
                </c:pt>
                <c:pt idx="3">
                  <c:v>30000</c:v>
                </c:pt>
                <c:pt idx="4">
                  <c:v>105000</c:v>
                </c:pt>
                <c:pt idx="5">
                  <c:v>20000</c:v>
                </c:pt>
                <c:pt idx="6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9EB-5E47-962C-E3A01F175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Jun 2026 — Category Comparison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3B82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0389-E84C-BED9-5043B266D2CB}"/>
              </c:ext>
            </c:extLst>
          </c:dPt>
          <c:dPt>
            <c:idx val="1"/>
            <c:invertIfNegative val="0"/>
            <c:bubble3D val="0"/>
            <c:spPr>
              <a:solidFill>
                <a:srgbClr val="10B98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0389-E84C-BED9-5043B266D2CB}"/>
              </c:ext>
            </c:extLst>
          </c:dPt>
          <c:dPt>
            <c:idx val="2"/>
            <c:invertIfNegative val="0"/>
            <c:bubble3D val="0"/>
            <c:spPr>
              <a:solidFill>
                <a:srgbClr val="F59E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0389-E84C-BED9-5043B266D2CB}"/>
              </c:ext>
            </c:extLst>
          </c:dPt>
          <c:dPt>
            <c:idx val="3"/>
            <c:invertIfNegative val="0"/>
            <c:bubble3D val="0"/>
            <c:spPr>
              <a:solidFill>
                <a:srgbClr val="EF44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0389-E84C-BED9-5043B266D2CB}"/>
              </c:ext>
            </c:extLst>
          </c:dPt>
          <c:dPt>
            <c:idx val="4"/>
            <c:invertIfNegative val="0"/>
            <c:bubble3D val="0"/>
            <c:spPr>
              <a:solidFill>
                <a:srgbClr val="8B5C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0389-E84C-BED9-5043B266D2CB}"/>
              </c:ext>
            </c:extLst>
          </c:dPt>
          <c:dPt>
            <c:idx val="5"/>
            <c:invertIfNegative val="0"/>
            <c:bubble3D val="0"/>
            <c:spPr>
              <a:solidFill>
                <a:srgbClr val="EC489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0389-E84C-BED9-5043B266D2CB}"/>
              </c:ext>
            </c:extLst>
          </c:dPt>
          <c:dPt>
            <c:idx val="6"/>
            <c:invertIfNegative val="0"/>
            <c:bubble3D val="0"/>
            <c:spPr>
              <a:solidFill>
                <a:srgbClr val="06B6D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0389-E84C-BED9-5043B266D2C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0389-E84C-BED9-5043B266D2C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0389-E84C-BED9-5043B266D2C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0389-E84C-BED9-5043B266D2CB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0389-E84C-BED9-5043B266D2CB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0389-E84C-BED9-5043B266D2CB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0389-E84C-BED9-5043B266D2CB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0389-E84C-BED9-5043B266D2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'Jun 2026'!$B$6:$B$12</c:f>
              <c:strCache>
                <c:ptCount val="7"/>
                <c:pt idx="0">
                  <c:v>Technology &amp; Software</c:v>
                </c:pt>
                <c:pt idx="1">
                  <c:v>Infrastructure (Office)</c:v>
                </c:pt>
                <c:pt idx="2">
                  <c:v>Device Rental</c:v>
                </c:pt>
                <c:pt idx="3">
                  <c:v>Content Production</c:v>
                </c:pt>
                <c:pt idx="4">
                  <c:v>Marketing &amp; Ads</c:v>
                </c:pt>
                <c:pt idx="5">
                  <c:v>Human Resources</c:v>
                </c:pt>
                <c:pt idx="6">
                  <c:v>Contingency Reserve</c:v>
                </c:pt>
              </c:strCache>
            </c:strRef>
          </c:cat>
          <c:val>
            <c:numRef>
              <c:f>'Jun 2026'!$C$6:$C$12</c:f>
              <c:numCache>
                <c:formatCode>#,##0</c:formatCode>
                <c:ptCount val="7"/>
                <c:pt idx="0">
                  <c:v>22600</c:v>
                </c:pt>
                <c:pt idx="1">
                  <c:v>40000</c:v>
                </c:pt>
                <c:pt idx="2">
                  <c:v>14000</c:v>
                </c:pt>
                <c:pt idx="3">
                  <c:v>30000</c:v>
                </c:pt>
                <c:pt idx="4">
                  <c:v>105000</c:v>
                </c:pt>
                <c:pt idx="5">
                  <c:v>20000</c:v>
                </c:pt>
                <c:pt idx="6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389-E84C-BED9-5043B266D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930440"/>
        <c:axId val="52280736"/>
      </c:barChart>
      <c:catAx>
        <c:axId val="39930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280736"/>
        <c:crosses val="autoZero"/>
        <c:auto val="1"/>
        <c:lblAlgn val="ctr"/>
        <c:lblOffset val="100"/>
        <c:noMultiLvlLbl val="0"/>
      </c:catAx>
      <c:valAx>
        <c:axId val="5228073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9304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Jul 2026 — Spend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3B82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4701-EB44-8C1C-EA184C558D20}"/>
              </c:ext>
            </c:extLst>
          </c:dPt>
          <c:dPt>
            <c:idx val="1"/>
            <c:bubble3D val="0"/>
            <c:spPr>
              <a:solidFill>
                <a:srgbClr val="10B98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701-EB44-8C1C-EA184C558D20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701-EB44-8C1C-EA184C558D20}"/>
              </c:ext>
            </c:extLst>
          </c:dPt>
          <c:dPt>
            <c:idx val="3"/>
            <c:bubble3D val="0"/>
            <c:spPr>
              <a:solidFill>
                <a:srgbClr val="EF44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4701-EB44-8C1C-EA184C558D20}"/>
              </c:ext>
            </c:extLst>
          </c:dPt>
          <c:dPt>
            <c:idx val="4"/>
            <c:bubble3D val="0"/>
            <c:spPr>
              <a:solidFill>
                <a:srgbClr val="8B5C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4701-EB44-8C1C-EA184C558D20}"/>
              </c:ext>
            </c:extLst>
          </c:dPt>
          <c:dPt>
            <c:idx val="5"/>
            <c:bubble3D val="0"/>
            <c:spPr>
              <a:solidFill>
                <a:srgbClr val="EC489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4701-EB44-8C1C-EA184C558D20}"/>
              </c:ext>
            </c:extLst>
          </c:dPt>
          <c:dPt>
            <c:idx val="6"/>
            <c:bubble3D val="0"/>
            <c:spPr>
              <a:solidFill>
                <a:srgbClr val="06B6D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4701-EB44-8C1C-EA184C558D2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4701-EB44-8C1C-EA184C558D2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4701-EB44-8C1C-EA184C558D2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4701-EB44-8C1C-EA184C558D20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4701-EB44-8C1C-EA184C558D20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4701-EB44-8C1C-EA184C558D20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4701-EB44-8C1C-EA184C558D20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4701-EB44-8C1C-EA184C558D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5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0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'Jul 2026'!$B$6:$B$12</c:f>
              <c:strCache>
                <c:ptCount val="7"/>
                <c:pt idx="0">
                  <c:v>Technology &amp; Software</c:v>
                </c:pt>
                <c:pt idx="1">
                  <c:v>Infrastructure (Office)</c:v>
                </c:pt>
                <c:pt idx="2">
                  <c:v>Device Rental</c:v>
                </c:pt>
                <c:pt idx="3">
                  <c:v>Content Production</c:v>
                </c:pt>
                <c:pt idx="4">
                  <c:v>Marketing &amp; Ads</c:v>
                </c:pt>
                <c:pt idx="5">
                  <c:v>Human Resources</c:v>
                </c:pt>
                <c:pt idx="6">
                  <c:v>Contingency Reserve</c:v>
                </c:pt>
              </c:strCache>
            </c:strRef>
          </c:cat>
          <c:val>
            <c:numRef>
              <c:f>'Jul 2026'!$C$6:$C$12</c:f>
              <c:numCache>
                <c:formatCode>#,##0</c:formatCode>
                <c:ptCount val="7"/>
                <c:pt idx="0">
                  <c:v>22600</c:v>
                </c:pt>
                <c:pt idx="1">
                  <c:v>40000</c:v>
                </c:pt>
                <c:pt idx="2">
                  <c:v>14000</c:v>
                </c:pt>
                <c:pt idx="3">
                  <c:v>30000</c:v>
                </c:pt>
                <c:pt idx="4">
                  <c:v>100000</c:v>
                </c:pt>
                <c:pt idx="5">
                  <c:v>20000</c:v>
                </c:pt>
                <c:pt idx="6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701-EB44-8C1C-EA184C558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Jul 2026 — Category Comparison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3B82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FB97-F04A-8DE9-70F3A7B670C8}"/>
              </c:ext>
            </c:extLst>
          </c:dPt>
          <c:dPt>
            <c:idx val="1"/>
            <c:invertIfNegative val="0"/>
            <c:bubble3D val="0"/>
            <c:spPr>
              <a:solidFill>
                <a:srgbClr val="10B98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B97-F04A-8DE9-70F3A7B670C8}"/>
              </c:ext>
            </c:extLst>
          </c:dPt>
          <c:dPt>
            <c:idx val="2"/>
            <c:invertIfNegative val="0"/>
            <c:bubble3D val="0"/>
            <c:spPr>
              <a:solidFill>
                <a:srgbClr val="F59E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B97-F04A-8DE9-70F3A7B670C8}"/>
              </c:ext>
            </c:extLst>
          </c:dPt>
          <c:dPt>
            <c:idx val="3"/>
            <c:invertIfNegative val="0"/>
            <c:bubble3D val="0"/>
            <c:spPr>
              <a:solidFill>
                <a:srgbClr val="EF44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FB97-F04A-8DE9-70F3A7B670C8}"/>
              </c:ext>
            </c:extLst>
          </c:dPt>
          <c:dPt>
            <c:idx val="4"/>
            <c:invertIfNegative val="0"/>
            <c:bubble3D val="0"/>
            <c:spPr>
              <a:solidFill>
                <a:srgbClr val="8B5C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FB97-F04A-8DE9-70F3A7B670C8}"/>
              </c:ext>
            </c:extLst>
          </c:dPt>
          <c:dPt>
            <c:idx val="5"/>
            <c:invertIfNegative val="0"/>
            <c:bubble3D val="0"/>
            <c:spPr>
              <a:solidFill>
                <a:srgbClr val="EC489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FB97-F04A-8DE9-70F3A7B670C8}"/>
              </c:ext>
            </c:extLst>
          </c:dPt>
          <c:dPt>
            <c:idx val="6"/>
            <c:invertIfNegative val="0"/>
            <c:bubble3D val="0"/>
            <c:spPr>
              <a:solidFill>
                <a:srgbClr val="06B6D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FB97-F04A-8DE9-70F3A7B670C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FB97-F04A-8DE9-70F3A7B670C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FB97-F04A-8DE9-70F3A7B670C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FB97-F04A-8DE9-70F3A7B670C8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FB97-F04A-8DE9-70F3A7B670C8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FB97-F04A-8DE9-70F3A7B670C8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FB97-F04A-8DE9-70F3A7B670C8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FB97-F04A-8DE9-70F3A7B670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 2026'!$B$6:$B$12</c:f>
              <c:strCache>
                <c:ptCount val="7"/>
                <c:pt idx="0">
                  <c:v>Technology &amp; Software</c:v>
                </c:pt>
                <c:pt idx="1">
                  <c:v>Infrastructure (Office)</c:v>
                </c:pt>
                <c:pt idx="2">
                  <c:v>Device Rental</c:v>
                </c:pt>
                <c:pt idx="3">
                  <c:v>Content Production</c:v>
                </c:pt>
                <c:pt idx="4">
                  <c:v>Marketing &amp; Ads</c:v>
                </c:pt>
                <c:pt idx="5">
                  <c:v>Human Resources</c:v>
                </c:pt>
                <c:pt idx="6">
                  <c:v>Contingency Reserve</c:v>
                </c:pt>
              </c:strCache>
            </c:strRef>
          </c:cat>
          <c:val>
            <c:numRef>
              <c:f>'Jul 2026'!$C$6:$C$12</c:f>
              <c:numCache>
                <c:formatCode>#,##0</c:formatCode>
                <c:ptCount val="7"/>
                <c:pt idx="0">
                  <c:v>22600</c:v>
                </c:pt>
                <c:pt idx="1">
                  <c:v>40000</c:v>
                </c:pt>
                <c:pt idx="2">
                  <c:v>14000</c:v>
                </c:pt>
                <c:pt idx="3">
                  <c:v>30000</c:v>
                </c:pt>
                <c:pt idx="4">
                  <c:v>100000</c:v>
                </c:pt>
                <c:pt idx="5">
                  <c:v>20000</c:v>
                </c:pt>
                <c:pt idx="6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B97-F04A-8DE9-70F3A7B67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66274"/>
        <c:axId val="48412668"/>
      </c:barChart>
      <c:catAx>
        <c:axId val="4086627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412668"/>
        <c:crosses val="autoZero"/>
        <c:auto val="1"/>
        <c:lblAlgn val="ctr"/>
        <c:lblOffset val="100"/>
        <c:noMultiLvlLbl val="0"/>
      </c:catAx>
      <c:valAx>
        <c:axId val="4841266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8662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Aug 2026 — Spend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3B82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EE41-3D40-93A6-D9CAA3730374}"/>
              </c:ext>
            </c:extLst>
          </c:dPt>
          <c:dPt>
            <c:idx val="1"/>
            <c:bubble3D val="0"/>
            <c:spPr>
              <a:solidFill>
                <a:srgbClr val="10B98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EE41-3D40-93A6-D9CAA3730374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EE41-3D40-93A6-D9CAA3730374}"/>
              </c:ext>
            </c:extLst>
          </c:dPt>
          <c:dPt>
            <c:idx val="3"/>
            <c:bubble3D val="0"/>
            <c:spPr>
              <a:solidFill>
                <a:srgbClr val="EF44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EE41-3D40-93A6-D9CAA3730374}"/>
              </c:ext>
            </c:extLst>
          </c:dPt>
          <c:dPt>
            <c:idx val="4"/>
            <c:bubble3D val="0"/>
            <c:spPr>
              <a:solidFill>
                <a:srgbClr val="8B5C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EE41-3D40-93A6-D9CAA3730374}"/>
              </c:ext>
            </c:extLst>
          </c:dPt>
          <c:dPt>
            <c:idx val="5"/>
            <c:bubble3D val="0"/>
            <c:spPr>
              <a:solidFill>
                <a:srgbClr val="EC489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EE41-3D40-93A6-D9CAA3730374}"/>
              </c:ext>
            </c:extLst>
          </c:dPt>
          <c:dPt>
            <c:idx val="6"/>
            <c:bubble3D val="0"/>
            <c:spPr>
              <a:solidFill>
                <a:srgbClr val="06B6D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EE41-3D40-93A6-D9CAA373037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EE41-3D40-93A6-D9CAA373037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EE41-3D40-93A6-D9CAA373037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EE41-3D40-93A6-D9CAA3730374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EE41-3D40-93A6-D9CAA3730374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EE41-3D40-93A6-D9CAA3730374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EE41-3D40-93A6-D9CAA3730374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EE41-3D40-93A6-D9CAA37303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5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0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'Aug 2026'!$B$6:$B$12</c:f>
              <c:strCache>
                <c:ptCount val="7"/>
                <c:pt idx="0">
                  <c:v>Technology &amp; Software</c:v>
                </c:pt>
                <c:pt idx="1">
                  <c:v>Infrastructure (Office)</c:v>
                </c:pt>
                <c:pt idx="2">
                  <c:v>Device Rental</c:v>
                </c:pt>
                <c:pt idx="3">
                  <c:v>Content Production</c:v>
                </c:pt>
                <c:pt idx="4">
                  <c:v>Marketing &amp; Ads</c:v>
                </c:pt>
                <c:pt idx="5">
                  <c:v>Human Resources</c:v>
                </c:pt>
                <c:pt idx="6">
                  <c:v>Contingency Reserve</c:v>
                </c:pt>
              </c:strCache>
            </c:strRef>
          </c:cat>
          <c:val>
            <c:numRef>
              <c:f>'Aug 2026'!$C$6:$C$12</c:f>
              <c:numCache>
                <c:formatCode>#,##0</c:formatCode>
                <c:ptCount val="7"/>
                <c:pt idx="0">
                  <c:v>22600</c:v>
                </c:pt>
                <c:pt idx="1">
                  <c:v>40000</c:v>
                </c:pt>
                <c:pt idx="2">
                  <c:v>14000</c:v>
                </c:pt>
                <c:pt idx="3">
                  <c:v>30000</c:v>
                </c:pt>
                <c:pt idx="4">
                  <c:v>130000</c:v>
                </c:pt>
                <c:pt idx="5">
                  <c:v>20000</c:v>
                </c:pt>
                <c:pt idx="6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E41-3D40-93A6-D9CAA3730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Aug 2026 — Category Comparison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3B82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159-0640-8F99-34668CF61CF7}"/>
              </c:ext>
            </c:extLst>
          </c:dPt>
          <c:dPt>
            <c:idx val="1"/>
            <c:invertIfNegative val="0"/>
            <c:bubble3D val="0"/>
            <c:spPr>
              <a:solidFill>
                <a:srgbClr val="10B98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159-0640-8F99-34668CF61CF7}"/>
              </c:ext>
            </c:extLst>
          </c:dPt>
          <c:dPt>
            <c:idx val="2"/>
            <c:invertIfNegative val="0"/>
            <c:bubble3D val="0"/>
            <c:spPr>
              <a:solidFill>
                <a:srgbClr val="F59E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159-0640-8F99-34668CF61CF7}"/>
              </c:ext>
            </c:extLst>
          </c:dPt>
          <c:dPt>
            <c:idx val="3"/>
            <c:invertIfNegative val="0"/>
            <c:bubble3D val="0"/>
            <c:spPr>
              <a:solidFill>
                <a:srgbClr val="EF44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B159-0640-8F99-34668CF61CF7}"/>
              </c:ext>
            </c:extLst>
          </c:dPt>
          <c:dPt>
            <c:idx val="4"/>
            <c:invertIfNegative val="0"/>
            <c:bubble3D val="0"/>
            <c:spPr>
              <a:solidFill>
                <a:srgbClr val="8B5C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B159-0640-8F99-34668CF61CF7}"/>
              </c:ext>
            </c:extLst>
          </c:dPt>
          <c:dPt>
            <c:idx val="5"/>
            <c:invertIfNegative val="0"/>
            <c:bubble3D val="0"/>
            <c:spPr>
              <a:solidFill>
                <a:srgbClr val="EC489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B159-0640-8F99-34668CF61CF7}"/>
              </c:ext>
            </c:extLst>
          </c:dPt>
          <c:dPt>
            <c:idx val="6"/>
            <c:invertIfNegative val="0"/>
            <c:bubble3D val="0"/>
            <c:spPr>
              <a:solidFill>
                <a:srgbClr val="06B6D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B159-0640-8F99-34668CF61CF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B159-0640-8F99-34668CF61CF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B159-0640-8F99-34668CF61CF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B159-0640-8F99-34668CF61CF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B159-0640-8F99-34668CF61CF7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B159-0640-8F99-34668CF61CF7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B159-0640-8F99-34668CF61CF7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B159-0640-8F99-34668CF61C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'Aug 2026'!$B$6:$B$12</c:f>
              <c:strCache>
                <c:ptCount val="7"/>
                <c:pt idx="0">
                  <c:v>Technology &amp; Software</c:v>
                </c:pt>
                <c:pt idx="1">
                  <c:v>Infrastructure (Office)</c:v>
                </c:pt>
                <c:pt idx="2">
                  <c:v>Device Rental</c:v>
                </c:pt>
                <c:pt idx="3">
                  <c:v>Content Production</c:v>
                </c:pt>
                <c:pt idx="4">
                  <c:v>Marketing &amp; Ads</c:v>
                </c:pt>
                <c:pt idx="5">
                  <c:v>Human Resources</c:v>
                </c:pt>
                <c:pt idx="6">
                  <c:v>Contingency Reserve</c:v>
                </c:pt>
              </c:strCache>
            </c:strRef>
          </c:cat>
          <c:val>
            <c:numRef>
              <c:f>'Aug 2026'!$C$6:$C$12</c:f>
              <c:numCache>
                <c:formatCode>#,##0</c:formatCode>
                <c:ptCount val="7"/>
                <c:pt idx="0">
                  <c:v>22600</c:v>
                </c:pt>
                <c:pt idx="1">
                  <c:v>40000</c:v>
                </c:pt>
                <c:pt idx="2">
                  <c:v>14000</c:v>
                </c:pt>
                <c:pt idx="3">
                  <c:v>30000</c:v>
                </c:pt>
                <c:pt idx="4">
                  <c:v>130000</c:v>
                </c:pt>
                <c:pt idx="5">
                  <c:v>20000</c:v>
                </c:pt>
                <c:pt idx="6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159-0640-8F99-34668CF61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857623"/>
        <c:axId val="817532"/>
      </c:barChart>
      <c:catAx>
        <c:axId val="818576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7532"/>
        <c:crosses val="autoZero"/>
        <c:auto val="1"/>
        <c:lblAlgn val="ctr"/>
        <c:lblOffset val="100"/>
        <c:noMultiLvlLbl val="0"/>
      </c:catAx>
      <c:valAx>
        <c:axId val="81753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8576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Sep 2026 — Spend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3B82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E437-774F-9FCC-DE64EF1BC4B9}"/>
              </c:ext>
            </c:extLst>
          </c:dPt>
          <c:dPt>
            <c:idx val="1"/>
            <c:bubble3D val="0"/>
            <c:spPr>
              <a:solidFill>
                <a:srgbClr val="10B98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E437-774F-9FCC-DE64EF1BC4B9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E437-774F-9FCC-DE64EF1BC4B9}"/>
              </c:ext>
            </c:extLst>
          </c:dPt>
          <c:dPt>
            <c:idx val="3"/>
            <c:bubble3D val="0"/>
            <c:spPr>
              <a:solidFill>
                <a:srgbClr val="EF44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E437-774F-9FCC-DE64EF1BC4B9}"/>
              </c:ext>
            </c:extLst>
          </c:dPt>
          <c:dPt>
            <c:idx val="4"/>
            <c:bubble3D val="0"/>
            <c:spPr>
              <a:solidFill>
                <a:srgbClr val="8B5C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E437-774F-9FCC-DE64EF1BC4B9}"/>
              </c:ext>
            </c:extLst>
          </c:dPt>
          <c:dPt>
            <c:idx val="5"/>
            <c:bubble3D val="0"/>
            <c:spPr>
              <a:solidFill>
                <a:srgbClr val="EC489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E437-774F-9FCC-DE64EF1BC4B9}"/>
              </c:ext>
            </c:extLst>
          </c:dPt>
          <c:dPt>
            <c:idx val="6"/>
            <c:bubble3D val="0"/>
            <c:spPr>
              <a:solidFill>
                <a:srgbClr val="06B6D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E437-774F-9FCC-DE64EF1BC4B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E437-774F-9FCC-DE64EF1BC4B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E437-774F-9FCC-DE64EF1BC4B9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E437-774F-9FCC-DE64EF1BC4B9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E437-774F-9FCC-DE64EF1BC4B9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E437-774F-9FCC-DE64EF1BC4B9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E437-774F-9FCC-DE64EF1BC4B9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E437-774F-9FCC-DE64EF1BC4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5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0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'Sep 2026'!$B$6:$B$12</c:f>
              <c:strCache>
                <c:ptCount val="7"/>
                <c:pt idx="0">
                  <c:v>Technology &amp; Software</c:v>
                </c:pt>
                <c:pt idx="1">
                  <c:v>Infrastructure (Office)</c:v>
                </c:pt>
                <c:pt idx="2">
                  <c:v>Device Rental</c:v>
                </c:pt>
                <c:pt idx="3">
                  <c:v>Content Production</c:v>
                </c:pt>
                <c:pt idx="4">
                  <c:v>Marketing &amp; Ads</c:v>
                </c:pt>
                <c:pt idx="5">
                  <c:v>Human Resources</c:v>
                </c:pt>
                <c:pt idx="6">
                  <c:v>Contingency Reserve</c:v>
                </c:pt>
              </c:strCache>
            </c:strRef>
          </c:cat>
          <c:val>
            <c:numRef>
              <c:f>'Sep 2026'!$C$6:$C$12</c:f>
              <c:numCache>
                <c:formatCode>#,##0</c:formatCode>
                <c:ptCount val="7"/>
                <c:pt idx="0">
                  <c:v>22600</c:v>
                </c:pt>
                <c:pt idx="1">
                  <c:v>40000</c:v>
                </c:pt>
                <c:pt idx="2">
                  <c:v>14000</c:v>
                </c:pt>
                <c:pt idx="3">
                  <c:v>30000</c:v>
                </c:pt>
                <c:pt idx="4">
                  <c:v>140000</c:v>
                </c:pt>
                <c:pt idx="5">
                  <c:v>20000</c:v>
                </c:pt>
                <c:pt idx="6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437-774F-9FCC-DE64EF1BC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Sep 2026 — Category Comparison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3B82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23EE-3C4B-A405-69085E990E4A}"/>
              </c:ext>
            </c:extLst>
          </c:dPt>
          <c:dPt>
            <c:idx val="1"/>
            <c:invertIfNegative val="0"/>
            <c:bubble3D val="0"/>
            <c:spPr>
              <a:solidFill>
                <a:srgbClr val="10B98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23EE-3C4B-A405-69085E990E4A}"/>
              </c:ext>
            </c:extLst>
          </c:dPt>
          <c:dPt>
            <c:idx val="2"/>
            <c:invertIfNegative val="0"/>
            <c:bubble3D val="0"/>
            <c:spPr>
              <a:solidFill>
                <a:srgbClr val="F59E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23EE-3C4B-A405-69085E990E4A}"/>
              </c:ext>
            </c:extLst>
          </c:dPt>
          <c:dPt>
            <c:idx val="3"/>
            <c:invertIfNegative val="0"/>
            <c:bubble3D val="0"/>
            <c:spPr>
              <a:solidFill>
                <a:srgbClr val="EF44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23EE-3C4B-A405-69085E990E4A}"/>
              </c:ext>
            </c:extLst>
          </c:dPt>
          <c:dPt>
            <c:idx val="4"/>
            <c:invertIfNegative val="0"/>
            <c:bubble3D val="0"/>
            <c:spPr>
              <a:solidFill>
                <a:srgbClr val="8B5C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23EE-3C4B-A405-69085E990E4A}"/>
              </c:ext>
            </c:extLst>
          </c:dPt>
          <c:dPt>
            <c:idx val="5"/>
            <c:invertIfNegative val="0"/>
            <c:bubble3D val="0"/>
            <c:spPr>
              <a:solidFill>
                <a:srgbClr val="EC489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23EE-3C4B-A405-69085E990E4A}"/>
              </c:ext>
            </c:extLst>
          </c:dPt>
          <c:dPt>
            <c:idx val="6"/>
            <c:invertIfNegative val="0"/>
            <c:bubble3D val="0"/>
            <c:spPr>
              <a:solidFill>
                <a:srgbClr val="06B6D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23EE-3C4B-A405-69085E990E4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23EE-3C4B-A405-69085E990E4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23EE-3C4B-A405-69085E990E4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23EE-3C4B-A405-69085E990E4A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23EE-3C4B-A405-69085E990E4A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23EE-3C4B-A405-69085E990E4A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23EE-3C4B-A405-69085E990E4A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23EE-3C4B-A405-69085E990E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'Sep 2026'!$B$6:$B$12</c:f>
              <c:strCache>
                <c:ptCount val="7"/>
                <c:pt idx="0">
                  <c:v>Technology &amp; Software</c:v>
                </c:pt>
                <c:pt idx="1">
                  <c:v>Infrastructure (Office)</c:v>
                </c:pt>
                <c:pt idx="2">
                  <c:v>Device Rental</c:v>
                </c:pt>
                <c:pt idx="3">
                  <c:v>Content Production</c:v>
                </c:pt>
                <c:pt idx="4">
                  <c:v>Marketing &amp; Ads</c:v>
                </c:pt>
                <c:pt idx="5">
                  <c:v>Human Resources</c:v>
                </c:pt>
                <c:pt idx="6">
                  <c:v>Contingency Reserve</c:v>
                </c:pt>
              </c:strCache>
            </c:strRef>
          </c:cat>
          <c:val>
            <c:numRef>
              <c:f>'Sep 2026'!$C$6:$C$12</c:f>
              <c:numCache>
                <c:formatCode>#,##0</c:formatCode>
                <c:ptCount val="7"/>
                <c:pt idx="0">
                  <c:v>22600</c:v>
                </c:pt>
                <c:pt idx="1">
                  <c:v>40000</c:v>
                </c:pt>
                <c:pt idx="2">
                  <c:v>14000</c:v>
                </c:pt>
                <c:pt idx="3">
                  <c:v>30000</c:v>
                </c:pt>
                <c:pt idx="4">
                  <c:v>140000</c:v>
                </c:pt>
                <c:pt idx="5">
                  <c:v>20000</c:v>
                </c:pt>
                <c:pt idx="6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3EE-3C4B-A405-69085E990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475062"/>
        <c:axId val="825583"/>
      </c:barChart>
      <c:catAx>
        <c:axId val="9947506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5583"/>
        <c:crosses val="autoZero"/>
        <c:auto val="1"/>
        <c:lblAlgn val="ctr"/>
        <c:lblOffset val="100"/>
        <c:noMultiLvlLbl val="0"/>
      </c:catAx>
      <c:valAx>
        <c:axId val="82558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4750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Oct 2026 — Spend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3B82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A748-AE4D-8178-BDCB155A4FFA}"/>
              </c:ext>
            </c:extLst>
          </c:dPt>
          <c:dPt>
            <c:idx val="1"/>
            <c:bubble3D val="0"/>
            <c:spPr>
              <a:solidFill>
                <a:srgbClr val="10B98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748-AE4D-8178-BDCB155A4FFA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748-AE4D-8178-BDCB155A4FFA}"/>
              </c:ext>
            </c:extLst>
          </c:dPt>
          <c:dPt>
            <c:idx val="3"/>
            <c:bubble3D val="0"/>
            <c:spPr>
              <a:solidFill>
                <a:srgbClr val="EF44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A748-AE4D-8178-BDCB155A4FFA}"/>
              </c:ext>
            </c:extLst>
          </c:dPt>
          <c:dPt>
            <c:idx val="4"/>
            <c:bubble3D val="0"/>
            <c:spPr>
              <a:solidFill>
                <a:srgbClr val="8B5C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A748-AE4D-8178-BDCB155A4FFA}"/>
              </c:ext>
            </c:extLst>
          </c:dPt>
          <c:dPt>
            <c:idx val="5"/>
            <c:bubble3D val="0"/>
            <c:spPr>
              <a:solidFill>
                <a:srgbClr val="EC489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A748-AE4D-8178-BDCB155A4FFA}"/>
              </c:ext>
            </c:extLst>
          </c:dPt>
          <c:dPt>
            <c:idx val="6"/>
            <c:bubble3D val="0"/>
            <c:spPr>
              <a:solidFill>
                <a:srgbClr val="06B6D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A748-AE4D-8178-BDCB155A4FF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A748-AE4D-8178-BDCB155A4FF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A748-AE4D-8178-BDCB155A4FF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A748-AE4D-8178-BDCB155A4FFA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A748-AE4D-8178-BDCB155A4FFA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A748-AE4D-8178-BDCB155A4FFA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A748-AE4D-8178-BDCB155A4FFA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A748-AE4D-8178-BDCB155A4F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5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0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'Oct 2026'!$B$6:$B$12</c:f>
              <c:strCache>
                <c:ptCount val="7"/>
                <c:pt idx="0">
                  <c:v>Technology &amp; Software</c:v>
                </c:pt>
                <c:pt idx="1">
                  <c:v>Infrastructure (Office)</c:v>
                </c:pt>
                <c:pt idx="2">
                  <c:v>Device Rental</c:v>
                </c:pt>
                <c:pt idx="3">
                  <c:v>Content Production</c:v>
                </c:pt>
                <c:pt idx="4">
                  <c:v>Marketing &amp; Ads</c:v>
                </c:pt>
                <c:pt idx="5">
                  <c:v>Human Resources</c:v>
                </c:pt>
                <c:pt idx="6">
                  <c:v>Contingency Reserve</c:v>
                </c:pt>
              </c:strCache>
            </c:strRef>
          </c:cat>
          <c:val>
            <c:numRef>
              <c:f>'Oct 2026'!$C$6:$C$12</c:f>
              <c:numCache>
                <c:formatCode>#,##0</c:formatCode>
                <c:ptCount val="7"/>
                <c:pt idx="0">
                  <c:v>22600</c:v>
                </c:pt>
                <c:pt idx="1">
                  <c:v>40000</c:v>
                </c:pt>
                <c:pt idx="2">
                  <c:v>14000</c:v>
                </c:pt>
                <c:pt idx="3">
                  <c:v>30000</c:v>
                </c:pt>
                <c:pt idx="4">
                  <c:v>150000</c:v>
                </c:pt>
                <c:pt idx="5">
                  <c:v>20000</c:v>
                </c:pt>
                <c:pt idx="6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748-AE4D-8178-BDCB155A4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Oct 2026 — Category Comparison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3B82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6FA6-304B-96B2-151351969845}"/>
              </c:ext>
            </c:extLst>
          </c:dPt>
          <c:dPt>
            <c:idx val="1"/>
            <c:invertIfNegative val="0"/>
            <c:bubble3D val="0"/>
            <c:spPr>
              <a:solidFill>
                <a:srgbClr val="10B98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FA6-304B-96B2-151351969845}"/>
              </c:ext>
            </c:extLst>
          </c:dPt>
          <c:dPt>
            <c:idx val="2"/>
            <c:invertIfNegative val="0"/>
            <c:bubble3D val="0"/>
            <c:spPr>
              <a:solidFill>
                <a:srgbClr val="F59E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FA6-304B-96B2-151351969845}"/>
              </c:ext>
            </c:extLst>
          </c:dPt>
          <c:dPt>
            <c:idx val="3"/>
            <c:invertIfNegative val="0"/>
            <c:bubble3D val="0"/>
            <c:spPr>
              <a:solidFill>
                <a:srgbClr val="EF44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6FA6-304B-96B2-151351969845}"/>
              </c:ext>
            </c:extLst>
          </c:dPt>
          <c:dPt>
            <c:idx val="4"/>
            <c:invertIfNegative val="0"/>
            <c:bubble3D val="0"/>
            <c:spPr>
              <a:solidFill>
                <a:srgbClr val="8B5C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6FA6-304B-96B2-151351969845}"/>
              </c:ext>
            </c:extLst>
          </c:dPt>
          <c:dPt>
            <c:idx val="5"/>
            <c:invertIfNegative val="0"/>
            <c:bubble3D val="0"/>
            <c:spPr>
              <a:solidFill>
                <a:srgbClr val="EC489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6FA6-304B-96B2-151351969845}"/>
              </c:ext>
            </c:extLst>
          </c:dPt>
          <c:dPt>
            <c:idx val="6"/>
            <c:invertIfNegative val="0"/>
            <c:bubble3D val="0"/>
            <c:spPr>
              <a:solidFill>
                <a:srgbClr val="06B6D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6FA6-304B-96B2-15135196984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6FA6-304B-96B2-15135196984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6FA6-304B-96B2-15135196984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6FA6-304B-96B2-151351969845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6FA6-304B-96B2-151351969845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6FA6-304B-96B2-151351969845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6FA6-304B-96B2-151351969845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6FA6-304B-96B2-1513519698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'Oct 2026'!$B$6:$B$12</c:f>
              <c:strCache>
                <c:ptCount val="7"/>
                <c:pt idx="0">
                  <c:v>Technology &amp; Software</c:v>
                </c:pt>
                <c:pt idx="1">
                  <c:v>Infrastructure (Office)</c:v>
                </c:pt>
                <c:pt idx="2">
                  <c:v>Device Rental</c:v>
                </c:pt>
                <c:pt idx="3">
                  <c:v>Content Production</c:v>
                </c:pt>
                <c:pt idx="4">
                  <c:v>Marketing &amp; Ads</c:v>
                </c:pt>
                <c:pt idx="5">
                  <c:v>Human Resources</c:v>
                </c:pt>
                <c:pt idx="6">
                  <c:v>Contingency Reserve</c:v>
                </c:pt>
              </c:strCache>
            </c:strRef>
          </c:cat>
          <c:val>
            <c:numRef>
              <c:f>'Oct 2026'!$C$6:$C$12</c:f>
              <c:numCache>
                <c:formatCode>#,##0</c:formatCode>
                <c:ptCount val="7"/>
                <c:pt idx="0">
                  <c:v>22600</c:v>
                </c:pt>
                <c:pt idx="1">
                  <c:v>40000</c:v>
                </c:pt>
                <c:pt idx="2">
                  <c:v>14000</c:v>
                </c:pt>
                <c:pt idx="3">
                  <c:v>30000</c:v>
                </c:pt>
                <c:pt idx="4">
                  <c:v>150000</c:v>
                </c:pt>
                <c:pt idx="5">
                  <c:v>20000</c:v>
                </c:pt>
                <c:pt idx="6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FA6-304B-96B2-151351969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927712"/>
        <c:axId val="96406304"/>
      </c:barChart>
      <c:catAx>
        <c:axId val="529277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406304"/>
        <c:crosses val="autoZero"/>
        <c:auto val="1"/>
        <c:lblAlgn val="ctr"/>
        <c:lblOffset val="100"/>
        <c:noMultiLvlLbl val="0"/>
      </c:catAx>
      <c:valAx>
        <c:axId val="9640630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9277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Nov 2026 — Spend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3B82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8DDD-1F49-BB65-8A7D7827DEF2}"/>
              </c:ext>
            </c:extLst>
          </c:dPt>
          <c:dPt>
            <c:idx val="1"/>
            <c:bubble3D val="0"/>
            <c:spPr>
              <a:solidFill>
                <a:srgbClr val="10B98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DDD-1F49-BB65-8A7D7827DEF2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DDD-1F49-BB65-8A7D7827DEF2}"/>
              </c:ext>
            </c:extLst>
          </c:dPt>
          <c:dPt>
            <c:idx val="3"/>
            <c:bubble3D val="0"/>
            <c:spPr>
              <a:solidFill>
                <a:srgbClr val="EF44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8DDD-1F49-BB65-8A7D7827DEF2}"/>
              </c:ext>
            </c:extLst>
          </c:dPt>
          <c:dPt>
            <c:idx val="4"/>
            <c:bubble3D val="0"/>
            <c:spPr>
              <a:solidFill>
                <a:srgbClr val="8B5C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8DDD-1F49-BB65-8A7D7827DEF2}"/>
              </c:ext>
            </c:extLst>
          </c:dPt>
          <c:dPt>
            <c:idx val="5"/>
            <c:bubble3D val="0"/>
            <c:spPr>
              <a:solidFill>
                <a:srgbClr val="EC489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8DDD-1F49-BB65-8A7D7827DEF2}"/>
              </c:ext>
            </c:extLst>
          </c:dPt>
          <c:dPt>
            <c:idx val="6"/>
            <c:bubble3D val="0"/>
            <c:spPr>
              <a:solidFill>
                <a:srgbClr val="06B6D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8DDD-1F49-BB65-8A7D7827DEF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8DDD-1F49-BB65-8A7D7827DEF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8DDD-1F49-BB65-8A7D7827DEF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8DDD-1F49-BB65-8A7D7827DEF2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8DDD-1F49-BB65-8A7D7827DEF2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8DDD-1F49-BB65-8A7D7827DEF2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8DDD-1F49-BB65-8A7D7827DEF2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8DDD-1F49-BB65-8A7D7827DE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5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0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'Nov 2026'!$B$6:$B$12</c:f>
              <c:strCache>
                <c:ptCount val="7"/>
                <c:pt idx="0">
                  <c:v>Technology &amp; Software</c:v>
                </c:pt>
                <c:pt idx="1">
                  <c:v>Infrastructure (Office)</c:v>
                </c:pt>
                <c:pt idx="2">
                  <c:v>Device Rental</c:v>
                </c:pt>
                <c:pt idx="3">
                  <c:v>Content Production</c:v>
                </c:pt>
                <c:pt idx="4">
                  <c:v>Marketing &amp; Ads</c:v>
                </c:pt>
                <c:pt idx="5">
                  <c:v>Human Resources</c:v>
                </c:pt>
                <c:pt idx="6">
                  <c:v>Contingency Reserve</c:v>
                </c:pt>
              </c:strCache>
            </c:strRef>
          </c:cat>
          <c:val>
            <c:numRef>
              <c:f>'Nov 2026'!$C$6:$C$12</c:f>
              <c:numCache>
                <c:formatCode>#,##0</c:formatCode>
                <c:ptCount val="7"/>
                <c:pt idx="0">
                  <c:v>22600</c:v>
                </c:pt>
                <c:pt idx="1">
                  <c:v>40000</c:v>
                </c:pt>
                <c:pt idx="2">
                  <c:v>14000</c:v>
                </c:pt>
                <c:pt idx="3">
                  <c:v>30000</c:v>
                </c:pt>
                <c:pt idx="4">
                  <c:v>130000</c:v>
                </c:pt>
                <c:pt idx="5">
                  <c:v>20000</c:v>
                </c:pt>
                <c:pt idx="6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DDD-1F49-BB65-8A7D7827D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Nov 2026 — Category Comparison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3B82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1296-5341-98EE-9A9EB0407436}"/>
              </c:ext>
            </c:extLst>
          </c:dPt>
          <c:dPt>
            <c:idx val="1"/>
            <c:invertIfNegative val="0"/>
            <c:bubble3D val="0"/>
            <c:spPr>
              <a:solidFill>
                <a:srgbClr val="10B98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296-5341-98EE-9A9EB0407436}"/>
              </c:ext>
            </c:extLst>
          </c:dPt>
          <c:dPt>
            <c:idx val="2"/>
            <c:invertIfNegative val="0"/>
            <c:bubble3D val="0"/>
            <c:spPr>
              <a:solidFill>
                <a:srgbClr val="F59E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1296-5341-98EE-9A9EB0407436}"/>
              </c:ext>
            </c:extLst>
          </c:dPt>
          <c:dPt>
            <c:idx val="3"/>
            <c:invertIfNegative val="0"/>
            <c:bubble3D val="0"/>
            <c:spPr>
              <a:solidFill>
                <a:srgbClr val="EF44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1296-5341-98EE-9A9EB0407436}"/>
              </c:ext>
            </c:extLst>
          </c:dPt>
          <c:dPt>
            <c:idx val="4"/>
            <c:invertIfNegative val="0"/>
            <c:bubble3D val="0"/>
            <c:spPr>
              <a:solidFill>
                <a:srgbClr val="8B5C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1296-5341-98EE-9A9EB0407436}"/>
              </c:ext>
            </c:extLst>
          </c:dPt>
          <c:dPt>
            <c:idx val="5"/>
            <c:invertIfNegative val="0"/>
            <c:bubble3D val="0"/>
            <c:spPr>
              <a:solidFill>
                <a:srgbClr val="EC489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1296-5341-98EE-9A9EB0407436}"/>
              </c:ext>
            </c:extLst>
          </c:dPt>
          <c:dPt>
            <c:idx val="6"/>
            <c:invertIfNegative val="0"/>
            <c:bubble3D val="0"/>
            <c:spPr>
              <a:solidFill>
                <a:srgbClr val="06B6D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1296-5341-98EE-9A9EB040743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1296-5341-98EE-9A9EB040743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1296-5341-98EE-9A9EB040743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1296-5341-98EE-9A9EB0407436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1296-5341-98EE-9A9EB0407436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1296-5341-98EE-9A9EB0407436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1296-5341-98EE-9A9EB0407436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1296-5341-98EE-9A9EB04074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'Nov 2026'!$B$6:$B$12</c:f>
              <c:strCache>
                <c:ptCount val="7"/>
                <c:pt idx="0">
                  <c:v>Technology &amp; Software</c:v>
                </c:pt>
                <c:pt idx="1">
                  <c:v>Infrastructure (Office)</c:v>
                </c:pt>
                <c:pt idx="2">
                  <c:v>Device Rental</c:v>
                </c:pt>
                <c:pt idx="3">
                  <c:v>Content Production</c:v>
                </c:pt>
                <c:pt idx="4">
                  <c:v>Marketing &amp; Ads</c:v>
                </c:pt>
                <c:pt idx="5">
                  <c:v>Human Resources</c:v>
                </c:pt>
                <c:pt idx="6">
                  <c:v>Contingency Reserve</c:v>
                </c:pt>
              </c:strCache>
            </c:strRef>
          </c:cat>
          <c:val>
            <c:numRef>
              <c:f>'Nov 2026'!$C$6:$C$12</c:f>
              <c:numCache>
                <c:formatCode>#,##0</c:formatCode>
                <c:ptCount val="7"/>
                <c:pt idx="0">
                  <c:v>22600</c:v>
                </c:pt>
                <c:pt idx="1">
                  <c:v>40000</c:v>
                </c:pt>
                <c:pt idx="2">
                  <c:v>14000</c:v>
                </c:pt>
                <c:pt idx="3">
                  <c:v>30000</c:v>
                </c:pt>
                <c:pt idx="4">
                  <c:v>130000</c:v>
                </c:pt>
                <c:pt idx="5">
                  <c:v>20000</c:v>
                </c:pt>
                <c:pt idx="6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296-5341-98EE-9A9EB0407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766361"/>
        <c:axId val="77221238"/>
      </c:barChart>
      <c:catAx>
        <c:axId val="5476636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221238"/>
        <c:crosses val="autoZero"/>
        <c:auto val="1"/>
        <c:lblAlgn val="ctr"/>
        <c:lblOffset val="100"/>
        <c:noMultiLvlLbl val="0"/>
      </c:catAx>
      <c:valAx>
        <c:axId val="7722123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7663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Dec 2026 — Spend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3B82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4F0-C349-B8B7-316883EEEA31}"/>
              </c:ext>
            </c:extLst>
          </c:dPt>
          <c:dPt>
            <c:idx val="1"/>
            <c:bubble3D val="0"/>
            <c:spPr>
              <a:solidFill>
                <a:srgbClr val="10B98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4F0-C349-B8B7-316883EEEA31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4F0-C349-B8B7-316883EEEA31}"/>
              </c:ext>
            </c:extLst>
          </c:dPt>
          <c:dPt>
            <c:idx val="3"/>
            <c:bubble3D val="0"/>
            <c:spPr>
              <a:solidFill>
                <a:srgbClr val="EF44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B4F0-C349-B8B7-316883EEEA31}"/>
              </c:ext>
            </c:extLst>
          </c:dPt>
          <c:dPt>
            <c:idx val="4"/>
            <c:bubble3D val="0"/>
            <c:spPr>
              <a:solidFill>
                <a:srgbClr val="8B5C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B4F0-C349-B8B7-316883EEEA31}"/>
              </c:ext>
            </c:extLst>
          </c:dPt>
          <c:dPt>
            <c:idx val="5"/>
            <c:bubble3D val="0"/>
            <c:spPr>
              <a:solidFill>
                <a:srgbClr val="EC489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B4F0-C349-B8B7-316883EEEA31}"/>
              </c:ext>
            </c:extLst>
          </c:dPt>
          <c:dPt>
            <c:idx val="6"/>
            <c:bubble3D val="0"/>
            <c:spPr>
              <a:solidFill>
                <a:srgbClr val="06B6D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B4F0-C349-B8B7-316883EEEA31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B4F0-C349-B8B7-316883EEEA31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B4F0-C349-B8B7-316883EEEA31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B4F0-C349-B8B7-316883EEEA31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B4F0-C349-B8B7-316883EEEA31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B4F0-C349-B8B7-316883EEEA31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B4F0-C349-B8B7-316883EEEA31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B4F0-C349-B8B7-316883EEEA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5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0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'Dec 2026'!$B$6:$B$12</c:f>
              <c:strCache>
                <c:ptCount val="7"/>
                <c:pt idx="0">
                  <c:v>Technology &amp; Software</c:v>
                </c:pt>
                <c:pt idx="1">
                  <c:v>Infrastructure (Office)</c:v>
                </c:pt>
                <c:pt idx="2">
                  <c:v>Device Rental</c:v>
                </c:pt>
                <c:pt idx="3">
                  <c:v>Content Production</c:v>
                </c:pt>
                <c:pt idx="4">
                  <c:v>Marketing &amp; Ads</c:v>
                </c:pt>
                <c:pt idx="5">
                  <c:v>Human Resources</c:v>
                </c:pt>
                <c:pt idx="6">
                  <c:v>Contingency Reserve</c:v>
                </c:pt>
              </c:strCache>
            </c:strRef>
          </c:cat>
          <c:val>
            <c:numRef>
              <c:f>'Dec 2026'!$C$6:$C$12</c:f>
              <c:numCache>
                <c:formatCode>#,##0</c:formatCode>
                <c:ptCount val="7"/>
                <c:pt idx="0">
                  <c:v>22600</c:v>
                </c:pt>
                <c:pt idx="1">
                  <c:v>40000</c:v>
                </c:pt>
                <c:pt idx="2">
                  <c:v>14000</c:v>
                </c:pt>
                <c:pt idx="3">
                  <c:v>30000</c:v>
                </c:pt>
                <c:pt idx="4">
                  <c:v>120000</c:v>
                </c:pt>
                <c:pt idx="5">
                  <c:v>20000</c:v>
                </c:pt>
                <c:pt idx="6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4F0-C349-B8B7-316883EEE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Dec 2026 — Category Comparison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3B82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2F2E-9D4F-96C7-C4239AE76F37}"/>
              </c:ext>
            </c:extLst>
          </c:dPt>
          <c:dPt>
            <c:idx val="1"/>
            <c:invertIfNegative val="0"/>
            <c:bubble3D val="0"/>
            <c:spPr>
              <a:solidFill>
                <a:srgbClr val="10B98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2F2E-9D4F-96C7-C4239AE76F37}"/>
              </c:ext>
            </c:extLst>
          </c:dPt>
          <c:dPt>
            <c:idx val="2"/>
            <c:invertIfNegative val="0"/>
            <c:bubble3D val="0"/>
            <c:spPr>
              <a:solidFill>
                <a:srgbClr val="F59E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2F2E-9D4F-96C7-C4239AE76F37}"/>
              </c:ext>
            </c:extLst>
          </c:dPt>
          <c:dPt>
            <c:idx val="3"/>
            <c:invertIfNegative val="0"/>
            <c:bubble3D val="0"/>
            <c:spPr>
              <a:solidFill>
                <a:srgbClr val="EF44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2F2E-9D4F-96C7-C4239AE76F37}"/>
              </c:ext>
            </c:extLst>
          </c:dPt>
          <c:dPt>
            <c:idx val="4"/>
            <c:invertIfNegative val="0"/>
            <c:bubble3D val="0"/>
            <c:spPr>
              <a:solidFill>
                <a:srgbClr val="8B5C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2F2E-9D4F-96C7-C4239AE76F37}"/>
              </c:ext>
            </c:extLst>
          </c:dPt>
          <c:dPt>
            <c:idx val="5"/>
            <c:invertIfNegative val="0"/>
            <c:bubble3D val="0"/>
            <c:spPr>
              <a:solidFill>
                <a:srgbClr val="EC489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2F2E-9D4F-96C7-C4239AE76F37}"/>
              </c:ext>
            </c:extLst>
          </c:dPt>
          <c:dPt>
            <c:idx val="6"/>
            <c:invertIfNegative val="0"/>
            <c:bubble3D val="0"/>
            <c:spPr>
              <a:solidFill>
                <a:srgbClr val="06B6D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2F2E-9D4F-96C7-C4239AE76F3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2F2E-9D4F-96C7-C4239AE76F3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2F2E-9D4F-96C7-C4239AE76F3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2F2E-9D4F-96C7-C4239AE76F3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2F2E-9D4F-96C7-C4239AE76F37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2F2E-9D4F-96C7-C4239AE76F37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2F2E-9D4F-96C7-C4239AE76F37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2F2E-9D4F-96C7-C4239AE76F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'Dec 2026'!$B$6:$B$12</c:f>
              <c:strCache>
                <c:ptCount val="7"/>
                <c:pt idx="0">
                  <c:v>Technology &amp; Software</c:v>
                </c:pt>
                <c:pt idx="1">
                  <c:v>Infrastructure (Office)</c:v>
                </c:pt>
                <c:pt idx="2">
                  <c:v>Device Rental</c:v>
                </c:pt>
                <c:pt idx="3">
                  <c:v>Content Production</c:v>
                </c:pt>
                <c:pt idx="4">
                  <c:v>Marketing &amp; Ads</c:v>
                </c:pt>
                <c:pt idx="5">
                  <c:v>Human Resources</c:v>
                </c:pt>
                <c:pt idx="6">
                  <c:v>Contingency Reserve</c:v>
                </c:pt>
              </c:strCache>
            </c:strRef>
          </c:cat>
          <c:val>
            <c:numRef>
              <c:f>'Dec 2026'!$C$6:$C$12</c:f>
              <c:numCache>
                <c:formatCode>#,##0</c:formatCode>
                <c:ptCount val="7"/>
                <c:pt idx="0">
                  <c:v>22600</c:v>
                </c:pt>
                <c:pt idx="1">
                  <c:v>40000</c:v>
                </c:pt>
                <c:pt idx="2">
                  <c:v>14000</c:v>
                </c:pt>
                <c:pt idx="3">
                  <c:v>30000</c:v>
                </c:pt>
                <c:pt idx="4">
                  <c:v>120000</c:v>
                </c:pt>
                <c:pt idx="5">
                  <c:v>20000</c:v>
                </c:pt>
                <c:pt idx="6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F2E-9D4F-96C7-C4239AE76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433127"/>
        <c:axId val="87383900"/>
      </c:barChart>
      <c:catAx>
        <c:axId val="8643312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383900"/>
        <c:crosses val="autoZero"/>
        <c:auto val="1"/>
        <c:lblAlgn val="ctr"/>
        <c:lblOffset val="100"/>
        <c:noMultiLvlLbl val="0"/>
      </c:catAx>
      <c:valAx>
        <c:axId val="873839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4331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Monthly Spend by Category (Stacked)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Technology &amp; Software</c:v>
          </c:tx>
          <c:spPr>
            <a:solidFill>
              <a:srgbClr val="3B82F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Allocation'!$C$4:$N$4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'Category Allocation'!$C$5:$N$5</c:f>
              <c:numCache>
                <c:formatCode>#,##0</c:formatCode>
                <c:ptCount val="12"/>
                <c:pt idx="0">
                  <c:v>22600</c:v>
                </c:pt>
                <c:pt idx="1">
                  <c:v>22600</c:v>
                </c:pt>
                <c:pt idx="2">
                  <c:v>22600</c:v>
                </c:pt>
                <c:pt idx="3">
                  <c:v>22600</c:v>
                </c:pt>
                <c:pt idx="4">
                  <c:v>22600</c:v>
                </c:pt>
                <c:pt idx="5">
                  <c:v>22600</c:v>
                </c:pt>
                <c:pt idx="6">
                  <c:v>22600</c:v>
                </c:pt>
                <c:pt idx="7">
                  <c:v>22600</c:v>
                </c:pt>
                <c:pt idx="8">
                  <c:v>22600</c:v>
                </c:pt>
                <c:pt idx="9">
                  <c:v>22600</c:v>
                </c:pt>
                <c:pt idx="10">
                  <c:v>22600</c:v>
                </c:pt>
                <c:pt idx="11">
                  <c:v>22600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98-FC4B-B9F8-B1E5CE5A7F94}"/>
            </c:ext>
          </c:extLst>
        </c:ser>
        <c:ser>
          <c:idx val="1"/>
          <c:order val="1"/>
          <c:tx>
            <c:v>Infrastructure (Office)</c:v>
          </c:tx>
          <c:spPr>
            <a:solidFill>
              <a:srgbClr val="10B98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Allocation'!$C$4:$N$4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'Category Allocation'!$C$6:$N$6</c:f>
              <c:numCache>
                <c:formatCode>#,##0</c:formatCode>
                <c:ptCount val="12"/>
                <c:pt idx="0">
                  <c:v>40000</c:v>
                </c:pt>
                <c:pt idx="1">
                  <c:v>40000</c:v>
                </c:pt>
                <c:pt idx="2">
                  <c:v>40000</c:v>
                </c:pt>
                <c:pt idx="3">
                  <c:v>40000</c:v>
                </c:pt>
                <c:pt idx="4">
                  <c:v>40000</c:v>
                </c:pt>
                <c:pt idx="5">
                  <c:v>40000</c:v>
                </c:pt>
                <c:pt idx="6">
                  <c:v>40000</c:v>
                </c:pt>
                <c:pt idx="7">
                  <c:v>40000</c:v>
                </c:pt>
                <c:pt idx="8">
                  <c:v>40000</c:v>
                </c:pt>
                <c:pt idx="9">
                  <c:v>40000</c:v>
                </c:pt>
                <c:pt idx="10">
                  <c:v>40000</c:v>
                </c:pt>
                <c:pt idx="11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98-FC4B-B9F8-B1E5CE5A7F94}"/>
            </c:ext>
          </c:extLst>
        </c:ser>
        <c:ser>
          <c:idx val="2"/>
          <c:order val="2"/>
          <c:tx>
            <c:v>Device Rental</c:v>
          </c:tx>
          <c:spPr>
            <a:solidFill>
              <a:srgbClr val="F59E0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Allocation'!$C$4:$N$4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'Category Allocation'!$C$7:$N$7</c:f>
              <c:numCache>
                <c:formatCode>#,##0</c:formatCode>
                <c:ptCount val="12"/>
                <c:pt idx="0">
                  <c:v>14000</c:v>
                </c:pt>
                <c:pt idx="1">
                  <c:v>14000</c:v>
                </c:pt>
                <c:pt idx="2">
                  <c:v>14000</c:v>
                </c:pt>
                <c:pt idx="3">
                  <c:v>14000</c:v>
                </c:pt>
                <c:pt idx="4">
                  <c:v>14000</c:v>
                </c:pt>
                <c:pt idx="5">
                  <c:v>14000</c:v>
                </c:pt>
                <c:pt idx="6">
                  <c:v>14000</c:v>
                </c:pt>
                <c:pt idx="7">
                  <c:v>14000</c:v>
                </c:pt>
                <c:pt idx="8">
                  <c:v>14000</c:v>
                </c:pt>
                <c:pt idx="9">
                  <c:v>14000</c:v>
                </c:pt>
                <c:pt idx="10">
                  <c:v>14000</c:v>
                </c:pt>
                <c:pt idx="11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98-FC4B-B9F8-B1E5CE5A7F94}"/>
            </c:ext>
          </c:extLst>
        </c:ser>
        <c:ser>
          <c:idx val="3"/>
          <c:order val="3"/>
          <c:tx>
            <c:v>Content Production</c:v>
          </c:tx>
          <c:spPr>
            <a:solidFill>
              <a:srgbClr val="EF444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Allocation'!$C$4:$N$4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'Category Allocation'!$C$8:$N$8</c:f>
              <c:numCache>
                <c:formatCode>#,##0</c:formatCode>
                <c:ptCount val="12"/>
                <c:pt idx="0">
                  <c:v>30000</c:v>
                </c:pt>
                <c:pt idx="1">
                  <c:v>30000</c:v>
                </c:pt>
                <c:pt idx="2">
                  <c:v>30000</c:v>
                </c:pt>
                <c:pt idx="3">
                  <c:v>30000</c:v>
                </c:pt>
                <c:pt idx="4">
                  <c:v>30000</c:v>
                </c:pt>
                <c:pt idx="5">
                  <c:v>30000</c:v>
                </c:pt>
                <c:pt idx="6">
                  <c:v>30000</c:v>
                </c:pt>
                <c:pt idx="7">
                  <c:v>30000</c:v>
                </c:pt>
                <c:pt idx="8">
                  <c:v>30000</c:v>
                </c:pt>
                <c:pt idx="9">
                  <c:v>30000</c:v>
                </c:pt>
                <c:pt idx="10">
                  <c:v>30000</c:v>
                </c:pt>
                <c:pt idx="11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98-FC4B-B9F8-B1E5CE5A7F94}"/>
            </c:ext>
          </c:extLst>
        </c:ser>
        <c:ser>
          <c:idx val="4"/>
          <c:order val="4"/>
          <c:tx>
            <c:v>Marketing &amp; Ads</c:v>
          </c:tx>
          <c:spPr>
            <a:solidFill>
              <a:srgbClr val="8B5CF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Allocation'!$C$4:$N$4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'Category Allocation'!$C$9:$N$9</c:f>
              <c:numCache>
                <c:formatCode>#,##0</c:formatCode>
                <c:ptCount val="12"/>
                <c:pt idx="0">
                  <c:v>180000</c:v>
                </c:pt>
                <c:pt idx="1">
                  <c:v>130000</c:v>
                </c:pt>
                <c:pt idx="2">
                  <c:v>150000</c:v>
                </c:pt>
                <c:pt idx="3">
                  <c:v>110000</c:v>
                </c:pt>
                <c:pt idx="4">
                  <c:v>115000</c:v>
                </c:pt>
                <c:pt idx="5">
                  <c:v>105000</c:v>
                </c:pt>
                <c:pt idx="6">
                  <c:v>100000</c:v>
                </c:pt>
                <c:pt idx="7">
                  <c:v>130000</c:v>
                </c:pt>
                <c:pt idx="8">
                  <c:v>140000</c:v>
                </c:pt>
                <c:pt idx="9">
                  <c:v>150000</c:v>
                </c:pt>
                <c:pt idx="10">
                  <c:v>130000</c:v>
                </c:pt>
                <c:pt idx="11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98-FC4B-B9F8-B1E5CE5A7F94}"/>
            </c:ext>
          </c:extLst>
        </c:ser>
        <c:ser>
          <c:idx val="5"/>
          <c:order val="5"/>
          <c:tx>
            <c:v>Human Resources</c:v>
          </c:tx>
          <c:spPr>
            <a:solidFill>
              <a:srgbClr val="EC489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Allocation'!$C$4:$N$4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'Category Allocation'!$C$10:$N$10</c:f>
              <c:numCache>
                <c:formatCode>#,##0</c:formatCode>
                <c:ptCount val="12"/>
                <c:pt idx="0">
                  <c:v>20000</c:v>
                </c:pt>
                <c:pt idx="1">
                  <c:v>20000</c:v>
                </c:pt>
                <c:pt idx="2">
                  <c:v>20000</c:v>
                </c:pt>
                <c:pt idx="3">
                  <c:v>20000</c:v>
                </c:pt>
                <c:pt idx="4">
                  <c:v>20000</c:v>
                </c:pt>
                <c:pt idx="5">
                  <c:v>20000</c:v>
                </c:pt>
                <c:pt idx="6">
                  <c:v>20000</c:v>
                </c:pt>
                <c:pt idx="7">
                  <c:v>20000</c:v>
                </c:pt>
                <c:pt idx="8">
                  <c:v>20000</c:v>
                </c:pt>
                <c:pt idx="9">
                  <c:v>20000</c:v>
                </c:pt>
                <c:pt idx="10">
                  <c:v>20000</c:v>
                </c:pt>
                <c:pt idx="11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98-FC4B-B9F8-B1E5CE5A7F94}"/>
            </c:ext>
          </c:extLst>
        </c:ser>
        <c:ser>
          <c:idx val="6"/>
          <c:order val="6"/>
          <c:tx>
            <c:v>Contingency Reserve</c:v>
          </c:tx>
          <c:spPr>
            <a:solidFill>
              <a:srgbClr val="06B6D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Allocation'!$C$4:$N$4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'Category Allocation'!$C$11:$N$11</c:f>
              <c:numCache>
                <c:formatCode>#,##0</c:formatCode>
                <c:ptCount val="12"/>
                <c:pt idx="0">
                  <c:v>20000</c:v>
                </c:pt>
                <c:pt idx="1">
                  <c:v>20000</c:v>
                </c:pt>
                <c:pt idx="2">
                  <c:v>20000</c:v>
                </c:pt>
                <c:pt idx="3">
                  <c:v>20000</c:v>
                </c:pt>
                <c:pt idx="4">
                  <c:v>20000</c:v>
                </c:pt>
                <c:pt idx="5">
                  <c:v>20000</c:v>
                </c:pt>
                <c:pt idx="6">
                  <c:v>20000</c:v>
                </c:pt>
                <c:pt idx="7">
                  <c:v>20000</c:v>
                </c:pt>
                <c:pt idx="8">
                  <c:v>20000</c:v>
                </c:pt>
                <c:pt idx="9">
                  <c:v>20000</c:v>
                </c:pt>
                <c:pt idx="10">
                  <c:v>20000</c:v>
                </c:pt>
                <c:pt idx="11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98-FC4B-B9F8-B1E5CE5A7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603567"/>
        <c:axId val="63572105"/>
      </c:barChart>
      <c:catAx>
        <c:axId val="5760356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572105"/>
        <c:crosses val="autoZero"/>
        <c:auto val="1"/>
        <c:lblAlgn val="ctr"/>
        <c:lblOffset val="100"/>
        <c:noMultiLvlLbl val="0"/>
      </c:catAx>
      <c:valAx>
        <c:axId val="6357210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60356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Annual Category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3B82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6242-FB4E-9EC0-DE65D79FA060}"/>
              </c:ext>
            </c:extLst>
          </c:dPt>
          <c:dPt>
            <c:idx val="1"/>
            <c:bubble3D val="0"/>
            <c:spPr>
              <a:solidFill>
                <a:srgbClr val="10B98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242-FB4E-9EC0-DE65D79FA060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242-FB4E-9EC0-DE65D79FA060}"/>
              </c:ext>
            </c:extLst>
          </c:dPt>
          <c:dPt>
            <c:idx val="3"/>
            <c:bubble3D val="0"/>
            <c:spPr>
              <a:solidFill>
                <a:srgbClr val="EF44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6242-FB4E-9EC0-DE65D79FA060}"/>
              </c:ext>
            </c:extLst>
          </c:dPt>
          <c:dPt>
            <c:idx val="4"/>
            <c:bubble3D val="0"/>
            <c:spPr>
              <a:solidFill>
                <a:srgbClr val="8B5C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6242-FB4E-9EC0-DE65D79FA060}"/>
              </c:ext>
            </c:extLst>
          </c:dPt>
          <c:dPt>
            <c:idx val="5"/>
            <c:bubble3D val="0"/>
            <c:spPr>
              <a:solidFill>
                <a:srgbClr val="EC489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6242-FB4E-9EC0-DE65D79FA060}"/>
              </c:ext>
            </c:extLst>
          </c:dPt>
          <c:dPt>
            <c:idx val="6"/>
            <c:bubble3D val="0"/>
            <c:spPr>
              <a:solidFill>
                <a:srgbClr val="06B6D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6242-FB4E-9EC0-DE65D79FA06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6242-FB4E-9EC0-DE65D79FA06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6242-FB4E-9EC0-DE65D79FA06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6242-FB4E-9EC0-DE65D79FA060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6242-FB4E-9EC0-DE65D79FA060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6242-FB4E-9EC0-DE65D79FA060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6242-FB4E-9EC0-DE65D79FA060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6242-FB4E-9EC0-DE65D79FA0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5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0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'Category Allocation'!$B$5:$B$11</c:f>
              <c:strCache>
                <c:ptCount val="7"/>
                <c:pt idx="0">
                  <c:v>Technology &amp; Software</c:v>
                </c:pt>
                <c:pt idx="1">
                  <c:v>Infrastructure (Office)</c:v>
                </c:pt>
                <c:pt idx="2">
                  <c:v>Device Rental</c:v>
                </c:pt>
                <c:pt idx="3">
                  <c:v>Content Production</c:v>
                </c:pt>
                <c:pt idx="4">
                  <c:v>Marketing &amp; Ads</c:v>
                </c:pt>
                <c:pt idx="5">
                  <c:v>Human Resources</c:v>
                </c:pt>
                <c:pt idx="6">
                  <c:v>Contingency Reserve</c:v>
                </c:pt>
              </c:strCache>
            </c:strRef>
          </c:cat>
          <c:val>
            <c:numRef>
              <c:f>'Category Allocation'!$O$5:$O$11</c:f>
              <c:numCache>
                <c:formatCode>#,##0</c:formatCode>
                <c:ptCount val="7"/>
                <c:pt idx="0">
                  <c:v>271200</c:v>
                </c:pt>
                <c:pt idx="1">
                  <c:v>480000</c:v>
                </c:pt>
                <c:pt idx="2">
                  <c:v>168000</c:v>
                </c:pt>
                <c:pt idx="3">
                  <c:v>360000</c:v>
                </c:pt>
                <c:pt idx="4">
                  <c:v>1560000</c:v>
                </c:pt>
                <c:pt idx="5">
                  <c:v>240000</c:v>
                </c:pt>
                <c:pt idx="6">
                  <c:v>240000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242-FB4E-9EC0-DE65D79FA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Marketing Spend Seasonality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080">
              <a:solidFill>
                <a:srgbClr val="EF444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Allocation'!$C$4:$N$4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'Category Allocation'!$C$9:$N$9</c:f>
              <c:numCache>
                <c:formatCode>#,##0</c:formatCode>
                <c:ptCount val="12"/>
                <c:pt idx="0">
                  <c:v>180000</c:v>
                </c:pt>
                <c:pt idx="1">
                  <c:v>130000</c:v>
                </c:pt>
                <c:pt idx="2">
                  <c:v>150000</c:v>
                </c:pt>
                <c:pt idx="3">
                  <c:v>110000</c:v>
                </c:pt>
                <c:pt idx="4">
                  <c:v>115000</c:v>
                </c:pt>
                <c:pt idx="5">
                  <c:v>105000</c:v>
                </c:pt>
                <c:pt idx="6">
                  <c:v>100000</c:v>
                </c:pt>
                <c:pt idx="7">
                  <c:v>130000</c:v>
                </c:pt>
                <c:pt idx="8">
                  <c:v>140000</c:v>
                </c:pt>
                <c:pt idx="9">
                  <c:v>150000</c:v>
                </c:pt>
                <c:pt idx="10">
                  <c:v>130000</c:v>
                </c:pt>
                <c:pt idx="11">
                  <c:v>120000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7A6-3445-83CE-01C3968F1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84476"/>
        <c:axId val="53763371"/>
      </c:lineChart>
      <c:catAx>
        <c:axId val="1844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763371"/>
        <c:crosses val="autoZero"/>
        <c:auto val="1"/>
        <c:lblAlgn val="ctr"/>
        <c:lblOffset val="100"/>
        <c:noMultiLvlLbl val="0"/>
      </c:catAx>
      <c:valAx>
        <c:axId val="537633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Marketing Spend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44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CAPEX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3B82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A6C3-9E43-A651-08D72D06886B}"/>
              </c:ext>
            </c:extLst>
          </c:dPt>
          <c:dPt>
            <c:idx val="1"/>
            <c:bubble3D val="0"/>
            <c:spPr>
              <a:solidFill>
                <a:srgbClr val="10B98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6C3-9E43-A651-08D72D06886B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6C3-9E43-A651-08D72D06886B}"/>
              </c:ext>
            </c:extLst>
          </c:dPt>
          <c:dPt>
            <c:idx val="3"/>
            <c:bubble3D val="0"/>
            <c:spPr>
              <a:solidFill>
                <a:srgbClr val="EF44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A6C3-9E43-A651-08D72D06886B}"/>
              </c:ext>
            </c:extLst>
          </c:dPt>
          <c:dPt>
            <c:idx val="4"/>
            <c:bubble3D val="0"/>
            <c:spPr>
              <a:solidFill>
                <a:srgbClr val="8B5CF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A6C3-9E43-A651-08D72D06886B}"/>
              </c:ext>
            </c:extLst>
          </c:dPt>
          <c:dPt>
            <c:idx val="5"/>
            <c:bubble3D val="0"/>
            <c:spPr>
              <a:solidFill>
                <a:srgbClr val="EC489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A6C3-9E43-A651-08D72D06886B}"/>
              </c:ext>
            </c:extLst>
          </c:dPt>
          <c:dPt>
            <c:idx val="6"/>
            <c:bubble3D val="0"/>
            <c:spPr>
              <a:solidFill>
                <a:srgbClr val="06B6D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A6C3-9E43-A651-08D72D06886B}"/>
              </c:ext>
            </c:extLst>
          </c:dPt>
          <c:dPt>
            <c:idx val="7"/>
            <c:bubble3D val="0"/>
            <c:spPr>
              <a:solidFill>
                <a:srgbClr val="14B8A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A6C3-9E43-A651-08D72D06886B}"/>
              </c:ext>
            </c:extLst>
          </c:dPt>
          <c:dPt>
            <c:idx val="8"/>
            <c:bubble3D val="0"/>
            <c:spPr>
              <a:solidFill>
                <a:srgbClr val="F9731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A6C3-9E43-A651-08D72D06886B}"/>
              </c:ext>
            </c:extLst>
          </c:dPt>
          <c:dPt>
            <c:idx val="9"/>
            <c:bubble3D val="0"/>
            <c:spPr>
              <a:solidFill>
                <a:srgbClr val="6366F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A6C3-9E43-A651-08D72D06886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A6C3-9E43-A651-08D72D06886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A6C3-9E43-A651-08D72D06886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A6C3-9E43-A651-08D72D06886B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A6C3-9E43-A651-08D72D06886B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A6C3-9E43-A651-08D72D06886B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A6C3-9E43-A651-08D72D06886B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A6C3-9E43-A651-08D72D06886B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F-A6C3-9E43-A651-08D72D06886B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1-A6C3-9E43-A651-08D72D06886B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3-A6C3-9E43-A651-08D72D0688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5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0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'CAPEX Detail'!$B$5:$B$14</c:f>
              <c:strCache>
                <c:ptCount val="10"/>
                <c:pt idx="0">
                  <c:v>FCA Licensing</c:v>
                </c:pt>
                <c:pt idx="1">
                  <c:v>Indian Company Formation</c:v>
                </c:pt>
                <c:pt idx="2">
                  <c:v>LG Monitors (×2)</c:v>
                </c:pt>
                <c:pt idx="3">
                  <c:v>Mac Mini</c:v>
                </c:pt>
                <c:pt idx="4">
                  <c:v>Webcams (×2)</c:v>
                </c:pt>
                <c:pt idx="5">
                  <c:v>Office Chairs (×2)</c:v>
                </c:pt>
                <c:pt idx="6">
                  <c:v>2TB SSD</c:v>
                </c:pt>
                <c:pt idx="7">
                  <c:v>DJI Mic</c:v>
                </c:pt>
                <c:pt idx="8">
                  <c:v>Website</c:v>
                </c:pt>
                <c:pt idx="9">
                  <c:v>Visiting Cards</c:v>
                </c:pt>
              </c:strCache>
            </c:strRef>
          </c:cat>
          <c:val>
            <c:numRef>
              <c:f>'CAPEX Detail'!$C$5:$C$14</c:f>
              <c:numCache>
                <c:formatCode>#,##0</c:formatCode>
                <c:ptCount val="10"/>
                <c:pt idx="0">
                  <c:v>590000</c:v>
                </c:pt>
                <c:pt idx="1">
                  <c:v>20000</c:v>
                </c:pt>
                <c:pt idx="2">
                  <c:v>62000</c:v>
                </c:pt>
                <c:pt idx="3">
                  <c:v>80000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20000</c:v>
                </c:pt>
                <c:pt idx="8">
                  <c:v>80000</c:v>
                </c:pt>
                <c:pt idx="9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6C3-9E43-A651-08D72D068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Capital Deployment &amp; Remaining Funds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'Burn Rate &amp; Runway'!$D$4</c:f>
              <c:strCache>
                <c:ptCount val="1"/>
                <c:pt idx="0">
                  <c:v>Cumulative Spend (₹)</c:v>
                </c:pt>
              </c:strCache>
            </c:strRef>
          </c:tx>
          <c:spPr>
            <a:ln w="28080">
              <a:solidFill>
                <a:srgbClr val="EF444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 Rate &amp; Runway'!$B$5:$B$16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'Burn Rate &amp; Runway'!$D$5:$D$16</c:f>
              <c:numCache>
                <c:formatCode>#,##0</c:formatCode>
                <c:ptCount val="12"/>
                <c:pt idx="0">
                  <c:v>1215600</c:v>
                </c:pt>
                <c:pt idx="1">
                  <c:v>1492200</c:v>
                </c:pt>
                <c:pt idx="2">
                  <c:v>1788800</c:v>
                </c:pt>
                <c:pt idx="3">
                  <c:v>2045400</c:v>
                </c:pt>
                <c:pt idx="4">
                  <c:v>2307000</c:v>
                </c:pt>
                <c:pt idx="5">
                  <c:v>2558600</c:v>
                </c:pt>
                <c:pt idx="6">
                  <c:v>2805200</c:v>
                </c:pt>
                <c:pt idx="7">
                  <c:v>3081800</c:v>
                </c:pt>
                <c:pt idx="8">
                  <c:v>3368400</c:v>
                </c:pt>
                <c:pt idx="9">
                  <c:v>3665000</c:v>
                </c:pt>
                <c:pt idx="10">
                  <c:v>3941600</c:v>
                </c:pt>
                <c:pt idx="11">
                  <c:v>4208200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9AF-CD46-8F46-357FB0EDB2E2}"/>
            </c:ext>
          </c:extLst>
        </c:ser>
        <c:ser>
          <c:idx val="1"/>
          <c:order val="1"/>
          <c:tx>
            <c:strRef>
              <c:f>'Burn Rate &amp; Runway'!$E$4</c:f>
              <c:strCache>
                <c:ptCount val="1"/>
                <c:pt idx="0">
                  <c:v>Remaining Capital (₹)</c:v>
                </c:pt>
              </c:strCache>
            </c:strRef>
          </c:tx>
          <c:spPr>
            <a:ln w="28080">
              <a:solidFill>
                <a:srgbClr val="10B98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 Rate &amp; Runway'!$B$5:$B$16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'Burn Rate &amp; Runway'!$E$5:$E$16</c:f>
              <c:numCache>
                <c:formatCode>#,##0</c:formatCode>
                <c:ptCount val="12"/>
                <c:pt idx="0">
                  <c:v>12484400</c:v>
                </c:pt>
                <c:pt idx="1">
                  <c:v>12207800</c:v>
                </c:pt>
                <c:pt idx="2">
                  <c:v>11911200</c:v>
                </c:pt>
                <c:pt idx="3">
                  <c:v>11654600</c:v>
                </c:pt>
                <c:pt idx="4">
                  <c:v>11393000</c:v>
                </c:pt>
                <c:pt idx="5">
                  <c:v>11141400</c:v>
                </c:pt>
                <c:pt idx="6">
                  <c:v>10894800</c:v>
                </c:pt>
                <c:pt idx="7">
                  <c:v>10618200</c:v>
                </c:pt>
                <c:pt idx="8">
                  <c:v>10331600</c:v>
                </c:pt>
                <c:pt idx="9">
                  <c:v>10035000</c:v>
                </c:pt>
                <c:pt idx="10">
                  <c:v>9758400</c:v>
                </c:pt>
                <c:pt idx="11">
                  <c:v>9491800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9AF-CD46-8F46-357FB0EDB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8577579"/>
        <c:axId val="97483607"/>
      </c:lineChart>
      <c:catAx>
        <c:axId val="885775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483607"/>
        <c:crosses val="autoZero"/>
        <c:auto val="1"/>
        <c:lblAlgn val="ctr"/>
        <c:lblOffset val="100"/>
        <c:noMultiLvlLbl val="0"/>
      </c:catAx>
      <c:valAx>
        <c:axId val="9748360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57757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1B2A4A"/>
                </a:solidFill>
                <a:latin typeface="Arial"/>
              </a:defRPr>
            </a:pPr>
            <a:r>
              <a:rPr lang="en-IN" sz="1400" b="1" strike="noStrike" spc="-1">
                <a:solidFill>
                  <a:srgbClr val="1B2A4A"/>
                </a:solidFill>
                <a:latin typeface="Arial"/>
              </a:rPr>
              <a:t>Monthly Burn Rate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'Burn Rate &amp; Runway'!$C$4</c:f>
              <c:strCache>
                <c:ptCount val="1"/>
                <c:pt idx="0">
                  <c:v>Monthly Spend (₹)</c:v>
                </c:pt>
              </c:strCache>
            </c:strRef>
          </c:tx>
          <c:spPr>
            <a:solidFill>
              <a:srgbClr val="3B82F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 Rate &amp; Runway'!$B$5:$B$16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'Burn Rate &amp; Runway'!$C$5:$C$16</c:f>
              <c:numCache>
                <c:formatCode>#,##0</c:formatCode>
                <c:ptCount val="12"/>
                <c:pt idx="0">
                  <c:v>1215600</c:v>
                </c:pt>
                <c:pt idx="1">
                  <c:v>276600</c:v>
                </c:pt>
                <c:pt idx="2">
                  <c:v>296600</c:v>
                </c:pt>
                <c:pt idx="3">
                  <c:v>256600</c:v>
                </c:pt>
                <c:pt idx="4">
                  <c:v>261600</c:v>
                </c:pt>
                <c:pt idx="5">
                  <c:v>251600</c:v>
                </c:pt>
                <c:pt idx="6">
                  <c:v>246600</c:v>
                </c:pt>
                <c:pt idx="7">
                  <c:v>276600</c:v>
                </c:pt>
                <c:pt idx="8">
                  <c:v>286600</c:v>
                </c:pt>
                <c:pt idx="9">
                  <c:v>296600</c:v>
                </c:pt>
                <c:pt idx="10">
                  <c:v>276600</c:v>
                </c:pt>
                <c:pt idx="11">
                  <c:v>266600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5C-2B4D-9B66-669853201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612946"/>
        <c:axId val="10028036"/>
      </c:barChart>
      <c:catAx>
        <c:axId val="2661294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028036"/>
        <c:crosses val="autoZero"/>
        <c:auto val="1"/>
        <c:lblAlgn val="ctr"/>
        <c:lblOffset val="100"/>
        <c:noMultiLvlLbl val="0"/>
      </c:catAx>
      <c:valAx>
        <c:axId val="1002803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Monthly Spend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6129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7</xdr:col>
      <xdr:colOff>307080</xdr:colOff>
      <xdr:row>44</xdr:row>
      <xdr:rowOff>149760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114300</xdr:colOff>
      <xdr:row>46</xdr:row>
      <xdr:rowOff>139700</xdr:rowOff>
    </xdr:from>
    <xdr:to>
      <xdr:col>7</xdr:col>
      <xdr:colOff>192780</xdr:colOff>
      <xdr:row>75</xdr:row>
      <xdr:rowOff>98960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4</xdr:col>
      <xdr:colOff>308880</xdr:colOff>
      <xdr:row>52</xdr:row>
      <xdr:rowOff>128160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30</xdr:row>
      <xdr:rowOff>0</xdr:rowOff>
    </xdr:from>
    <xdr:to>
      <xdr:col>16</xdr:col>
      <xdr:colOff>255240</xdr:colOff>
      <xdr:row>52</xdr:row>
      <xdr:rowOff>128160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4</xdr:col>
      <xdr:colOff>308880</xdr:colOff>
      <xdr:row>37</xdr:row>
      <xdr:rowOff>127800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15</xdr:row>
      <xdr:rowOff>0</xdr:rowOff>
    </xdr:from>
    <xdr:to>
      <xdr:col>16</xdr:col>
      <xdr:colOff>255240</xdr:colOff>
      <xdr:row>37</xdr:row>
      <xdr:rowOff>127800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4</xdr:col>
      <xdr:colOff>308880</xdr:colOff>
      <xdr:row>37</xdr:row>
      <xdr:rowOff>127800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15</xdr:row>
      <xdr:rowOff>0</xdr:rowOff>
    </xdr:from>
    <xdr:to>
      <xdr:col>16</xdr:col>
      <xdr:colOff>255240</xdr:colOff>
      <xdr:row>37</xdr:row>
      <xdr:rowOff>127800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4</xdr:col>
      <xdr:colOff>308880</xdr:colOff>
      <xdr:row>37</xdr:row>
      <xdr:rowOff>127800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15</xdr:row>
      <xdr:rowOff>0</xdr:rowOff>
    </xdr:from>
    <xdr:to>
      <xdr:col>16</xdr:col>
      <xdr:colOff>255240</xdr:colOff>
      <xdr:row>37</xdr:row>
      <xdr:rowOff>127800</xdr:rowOff>
    </xdr:to>
    <xdr:graphicFrame macro="">
      <xdr:nvGraphicFramePr>
        <xdr:cNvPr id="10" name="Chart 2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4</xdr:col>
      <xdr:colOff>308880</xdr:colOff>
      <xdr:row>37</xdr:row>
      <xdr:rowOff>127800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15</xdr:row>
      <xdr:rowOff>0</xdr:rowOff>
    </xdr:from>
    <xdr:to>
      <xdr:col>16</xdr:col>
      <xdr:colOff>255240</xdr:colOff>
      <xdr:row>37</xdr:row>
      <xdr:rowOff>127800</xdr:rowOff>
    </xdr:to>
    <xdr:graphicFrame macro="">
      <xdr:nvGraphicFramePr>
        <xdr:cNvPr id="12" name="Chart 2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4</xdr:col>
      <xdr:colOff>308880</xdr:colOff>
      <xdr:row>37</xdr:row>
      <xdr:rowOff>127800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15</xdr:row>
      <xdr:rowOff>0</xdr:rowOff>
    </xdr:from>
    <xdr:to>
      <xdr:col>16</xdr:col>
      <xdr:colOff>255240</xdr:colOff>
      <xdr:row>37</xdr:row>
      <xdr:rowOff>127800</xdr:rowOff>
    </xdr:to>
    <xdr:graphicFrame macro="">
      <xdr:nvGraphicFramePr>
        <xdr:cNvPr id="14" name="Chart 2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4</xdr:col>
      <xdr:colOff>308880</xdr:colOff>
      <xdr:row>37</xdr:row>
      <xdr:rowOff>127800</xdr:rowOff>
    </xdr:to>
    <xdr:graphicFrame macro="">
      <xdr:nvGraphicFramePr>
        <xdr:cNvPr id="15" name="Chart 1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15</xdr:row>
      <xdr:rowOff>0</xdr:rowOff>
    </xdr:from>
    <xdr:to>
      <xdr:col>16</xdr:col>
      <xdr:colOff>255240</xdr:colOff>
      <xdr:row>37</xdr:row>
      <xdr:rowOff>127800</xdr:rowOff>
    </xdr:to>
    <xdr:graphicFrame macro="">
      <xdr:nvGraphicFramePr>
        <xdr:cNvPr id="16" name="Chart 2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4</xdr:col>
      <xdr:colOff>308880</xdr:colOff>
      <xdr:row>37</xdr:row>
      <xdr:rowOff>127800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15</xdr:row>
      <xdr:rowOff>0</xdr:rowOff>
    </xdr:from>
    <xdr:to>
      <xdr:col>16</xdr:col>
      <xdr:colOff>255240</xdr:colOff>
      <xdr:row>37</xdr:row>
      <xdr:rowOff>127800</xdr:rowOff>
    </xdr:to>
    <xdr:graphicFrame macro="">
      <xdr:nvGraphicFramePr>
        <xdr:cNvPr id="18" name="Chart 2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4</xdr:col>
      <xdr:colOff>308880</xdr:colOff>
      <xdr:row>37</xdr:row>
      <xdr:rowOff>127800</xdr:rowOff>
    </xdr:to>
    <xdr:graphicFrame macro="">
      <xdr:nvGraphicFramePr>
        <xdr:cNvPr id="19" name="Chart 1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15</xdr:row>
      <xdr:rowOff>0</xdr:rowOff>
    </xdr:from>
    <xdr:to>
      <xdr:col>16</xdr:col>
      <xdr:colOff>255240</xdr:colOff>
      <xdr:row>37</xdr:row>
      <xdr:rowOff>127800</xdr:rowOff>
    </xdr:to>
    <xdr:graphicFrame macro="">
      <xdr:nvGraphicFramePr>
        <xdr:cNvPr id="20" name="Chart 2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4</xdr:col>
      <xdr:colOff>308880</xdr:colOff>
      <xdr:row>37</xdr:row>
      <xdr:rowOff>127800</xdr:rowOff>
    </xdr:to>
    <xdr:graphicFrame macro="">
      <xdr:nvGraphicFramePr>
        <xdr:cNvPr id="21" name="Chart 1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15</xdr:row>
      <xdr:rowOff>0</xdr:rowOff>
    </xdr:from>
    <xdr:to>
      <xdr:col>16</xdr:col>
      <xdr:colOff>255240</xdr:colOff>
      <xdr:row>37</xdr:row>
      <xdr:rowOff>127800</xdr:rowOff>
    </xdr:to>
    <xdr:graphicFrame macro="">
      <xdr:nvGraphicFramePr>
        <xdr:cNvPr id="22" name="Chart 2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4</xdr:col>
      <xdr:colOff>308880</xdr:colOff>
      <xdr:row>37</xdr:row>
      <xdr:rowOff>127800</xdr:rowOff>
    </xdr:to>
    <xdr:graphicFrame macro="">
      <xdr:nvGraphicFramePr>
        <xdr:cNvPr id="23" name="Chart 1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15</xdr:row>
      <xdr:rowOff>0</xdr:rowOff>
    </xdr:from>
    <xdr:to>
      <xdr:col>16</xdr:col>
      <xdr:colOff>255240</xdr:colOff>
      <xdr:row>37</xdr:row>
      <xdr:rowOff>127800</xdr:rowOff>
    </xdr:to>
    <xdr:graphicFrame macro="">
      <xdr:nvGraphicFramePr>
        <xdr:cNvPr id="24" name="Chart 2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4</xdr:col>
      <xdr:colOff>308880</xdr:colOff>
      <xdr:row>37</xdr:row>
      <xdr:rowOff>127800</xdr:rowOff>
    </xdr:to>
    <xdr:graphicFrame macro="">
      <xdr:nvGraphicFramePr>
        <xdr:cNvPr id="25" name="Chart 1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15</xdr:row>
      <xdr:rowOff>0</xdr:rowOff>
    </xdr:from>
    <xdr:to>
      <xdr:col>16</xdr:col>
      <xdr:colOff>255240</xdr:colOff>
      <xdr:row>37</xdr:row>
      <xdr:rowOff>127800</xdr:rowOff>
    </xdr:to>
    <xdr:graphicFrame macro="">
      <xdr:nvGraphicFramePr>
        <xdr:cNvPr id="26" name="Chart 2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8</xdr:col>
      <xdr:colOff>39600</xdr:colOff>
      <xdr:row>39</xdr:row>
      <xdr:rowOff>86040</xdr:rowOff>
    </xdr:to>
    <xdr:graphicFrame macro="">
      <xdr:nvGraphicFramePr>
        <xdr:cNvPr id="27" name="Chart 1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12700</xdr:colOff>
      <xdr:row>42</xdr:row>
      <xdr:rowOff>38100</xdr:rowOff>
    </xdr:from>
    <xdr:to>
      <xdr:col>4</xdr:col>
      <xdr:colOff>963460</xdr:colOff>
      <xdr:row>66</xdr:row>
      <xdr:rowOff>145020</xdr:rowOff>
    </xdr:to>
    <xdr:graphicFrame macro="">
      <xdr:nvGraphicFramePr>
        <xdr:cNvPr id="28" name="Chart 2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33</xdr:row>
      <xdr:rowOff>0</xdr:rowOff>
    </xdr:from>
    <xdr:to>
      <xdr:col>13</xdr:col>
      <xdr:colOff>528120</xdr:colOff>
      <xdr:row>57</xdr:row>
      <xdr:rowOff>106920</xdr:rowOff>
    </xdr:to>
    <xdr:graphicFrame macro="">
      <xdr:nvGraphicFramePr>
        <xdr:cNvPr id="29" name="Chart 3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5</xdr:col>
      <xdr:colOff>769320</xdr:colOff>
      <xdr:row>45</xdr:row>
      <xdr:rowOff>65160</xdr:rowOff>
    </xdr:to>
    <xdr:graphicFrame macro="">
      <xdr:nvGraphicFramePr>
        <xdr:cNvPr id="30" name="Chart 1">
          <a:extLst>
            <a:ext uri="{FF2B5EF4-FFF2-40B4-BE49-F238E27FC236}">
              <a16:creationId xmlns:a16="http://schemas.microsoft.com/office/drawing/2014/main" id="{00000000-0008-0000-0E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9</xdr:col>
      <xdr:colOff>178560</xdr:colOff>
      <xdr:row>45</xdr:row>
      <xdr:rowOff>86040</xdr:rowOff>
    </xdr:to>
    <xdr:graphicFrame macro="">
      <xdr:nvGraphicFramePr>
        <xdr:cNvPr id="31" name="Chart 1">
          <a:extLst>
            <a:ext uri="{FF2B5EF4-FFF2-40B4-BE49-F238E27FC236}">
              <a16:creationId xmlns:a16="http://schemas.microsoft.com/office/drawing/2014/main" id="{00000000-0008-0000-0F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203200</xdr:colOff>
      <xdr:row>46</xdr:row>
      <xdr:rowOff>177800</xdr:rowOff>
    </xdr:from>
    <xdr:to>
      <xdr:col>9</xdr:col>
      <xdr:colOff>153160</xdr:colOff>
      <xdr:row>73</xdr:row>
      <xdr:rowOff>73340</xdr:rowOff>
    </xdr:to>
    <xdr:graphicFrame macro="">
      <xdr:nvGraphicFramePr>
        <xdr:cNvPr id="32" name="Chart 2">
          <a:extLst>
            <a:ext uri="{FF2B5EF4-FFF2-40B4-BE49-F238E27FC236}">
              <a16:creationId xmlns:a16="http://schemas.microsoft.com/office/drawing/2014/main" id="{00000000-0008-0000-0F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B82F6"/>
  </sheetPr>
  <dimension ref="B2:O67"/>
  <sheetViews>
    <sheetView showGridLines="0" zoomScaleNormal="100" workbookViewId="0">
      <selection activeCell="K56" sqref="K56"/>
    </sheetView>
  </sheetViews>
  <sheetFormatPr baseColWidth="10" defaultColWidth="8.6640625" defaultRowHeight="15" x14ac:dyDescent="0.2"/>
  <cols>
    <col min="1" max="1" width="3" customWidth="1"/>
    <col min="2" max="2" width="22" customWidth="1"/>
    <col min="3" max="5" width="18" customWidth="1"/>
    <col min="6" max="6" width="14" customWidth="1"/>
    <col min="7" max="15" width="18" customWidth="1"/>
  </cols>
  <sheetData>
    <row r="2" spans="2:15" ht="19.5" customHeight="1" x14ac:dyDescent="0.2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15" ht="15" customHeight="1" x14ac:dyDescent="0.2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spans="2:15" ht="15" customHeight="1" x14ac:dyDescent="0.2"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</row>
    <row r="6" spans="2:15" ht="15" customHeight="1" x14ac:dyDescent="0.2">
      <c r="B6" s="5" t="s">
        <v>16</v>
      </c>
      <c r="C6" s="6">
        <v>22600</v>
      </c>
      <c r="D6" s="6">
        <v>22600</v>
      </c>
      <c r="E6" s="6">
        <v>22600</v>
      </c>
      <c r="F6" s="6">
        <v>22600</v>
      </c>
      <c r="G6" s="6">
        <v>22600</v>
      </c>
      <c r="H6" s="6">
        <v>22600</v>
      </c>
      <c r="I6" s="6">
        <v>22600</v>
      </c>
      <c r="J6" s="6">
        <v>22600</v>
      </c>
      <c r="K6" s="6">
        <v>22600</v>
      </c>
      <c r="L6" s="6">
        <v>22600</v>
      </c>
      <c r="M6" s="6">
        <v>22600</v>
      </c>
      <c r="N6" s="6">
        <v>22600</v>
      </c>
      <c r="O6" s="7">
        <f t="shared" ref="O6:O13" si="0">SUM(C6:N6)</f>
        <v>271200</v>
      </c>
    </row>
    <row r="7" spans="2:15" ht="15" customHeight="1" x14ac:dyDescent="0.2">
      <c r="B7" s="8" t="s">
        <v>17</v>
      </c>
      <c r="C7" s="9">
        <v>40000</v>
      </c>
      <c r="D7" s="9">
        <v>40000</v>
      </c>
      <c r="E7" s="9">
        <v>40000</v>
      </c>
      <c r="F7" s="9">
        <v>40000</v>
      </c>
      <c r="G7" s="9">
        <v>40000</v>
      </c>
      <c r="H7" s="9">
        <v>40000</v>
      </c>
      <c r="I7" s="9">
        <v>40000</v>
      </c>
      <c r="J7" s="9">
        <v>40000</v>
      </c>
      <c r="K7" s="9">
        <v>40000</v>
      </c>
      <c r="L7" s="9">
        <v>40000</v>
      </c>
      <c r="M7" s="9">
        <v>40000</v>
      </c>
      <c r="N7" s="9">
        <v>40000</v>
      </c>
      <c r="O7" s="7">
        <f t="shared" si="0"/>
        <v>480000</v>
      </c>
    </row>
    <row r="8" spans="2:15" ht="15" customHeight="1" x14ac:dyDescent="0.2">
      <c r="B8" s="5" t="s">
        <v>18</v>
      </c>
      <c r="C8" s="6">
        <v>14000</v>
      </c>
      <c r="D8" s="6">
        <v>14000</v>
      </c>
      <c r="E8" s="6">
        <v>14000</v>
      </c>
      <c r="F8" s="6">
        <v>14000</v>
      </c>
      <c r="G8" s="6">
        <v>14000</v>
      </c>
      <c r="H8" s="6">
        <v>14000</v>
      </c>
      <c r="I8" s="6">
        <v>14000</v>
      </c>
      <c r="J8" s="6">
        <v>14000</v>
      </c>
      <c r="K8" s="6">
        <v>14000</v>
      </c>
      <c r="L8" s="6">
        <v>14000</v>
      </c>
      <c r="M8" s="6">
        <v>14000</v>
      </c>
      <c r="N8" s="6">
        <v>14000</v>
      </c>
      <c r="O8" s="7">
        <f t="shared" si="0"/>
        <v>168000</v>
      </c>
    </row>
    <row r="9" spans="2:15" ht="15" customHeight="1" x14ac:dyDescent="0.2">
      <c r="B9" s="8" t="s">
        <v>19</v>
      </c>
      <c r="C9" s="9">
        <v>30000</v>
      </c>
      <c r="D9" s="9">
        <v>30000</v>
      </c>
      <c r="E9" s="9">
        <v>30000</v>
      </c>
      <c r="F9" s="9">
        <v>30000</v>
      </c>
      <c r="G9" s="9">
        <v>30000</v>
      </c>
      <c r="H9" s="9">
        <v>30000</v>
      </c>
      <c r="I9" s="9">
        <v>30000</v>
      </c>
      <c r="J9" s="9">
        <v>30000</v>
      </c>
      <c r="K9" s="9">
        <v>30000</v>
      </c>
      <c r="L9" s="9">
        <v>30000</v>
      </c>
      <c r="M9" s="9">
        <v>30000</v>
      </c>
      <c r="N9" s="9">
        <v>30000</v>
      </c>
      <c r="O9" s="7">
        <f t="shared" si="0"/>
        <v>360000</v>
      </c>
    </row>
    <row r="10" spans="2:15" ht="15" customHeight="1" x14ac:dyDescent="0.2">
      <c r="B10" s="5" t="s">
        <v>20</v>
      </c>
      <c r="C10" s="6">
        <v>180000</v>
      </c>
      <c r="D10" s="6">
        <v>130000</v>
      </c>
      <c r="E10" s="6">
        <v>150000</v>
      </c>
      <c r="F10" s="6">
        <v>110000</v>
      </c>
      <c r="G10" s="6">
        <v>115000</v>
      </c>
      <c r="H10" s="6">
        <v>105000</v>
      </c>
      <c r="I10" s="6">
        <v>100000</v>
      </c>
      <c r="J10" s="6">
        <v>130000</v>
      </c>
      <c r="K10" s="6">
        <v>140000</v>
      </c>
      <c r="L10" s="6">
        <v>150000</v>
      </c>
      <c r="M10" s="6">
        <v>130000</v>
      </c>
      <c r="N10" s="6">
        <v>120000</v>
      </c>
      <c r="O10" s="7">
        <f t="shared" si="0"/>
        <v>1560000</v>
      </c>
    </row>
    <row r="11" spans="2:15" ht="15" customHeight="1" x14ac:dyDescent="0.2">
      <c r="B11" s="8" t="s">
        <v>21</v>
      </c>
      <c r="C11" s="9">
        <v>20000</v>
      </c>
      <c r="D11" s="9">
        <v>20000</v>
      </c>
      <c r="E11" s="9">
        <v>20000</v>
      </c>
      <c r="F11" s="9">
        <v>20000</v>
      </c>
      <c r="G11" s="9">
        <v>20000</v>
      </c>
      <c r="H11" s="9">
        <v>20000</v>
      </c>
      <c r="I11" s="9">
        <v>20000</v>
      </c>
      <c r="J11" s="9">
        <v>20000</v>
      </c>
      <c r="K11" s="9">
        <v>20000</v>
      </c>
      <c r="L11" s="9">
        <v>20000</v>
      </c>
      <c r="M11" s="9">
        <v>20000</v>
      </c>
      <c r="N11" s="9">
        <v>20000</v>
      </c>
      <c r="O11" s="7">
        <f t="shared" si="0"/>
        <v>240000</v>
      </c>
    </row>
    <row r="12" spans="2:15" ht="15" customHeight="1" x14ac:dyDescent="0.2">
      <c r="B12" s="5" t="s">
        <v>22</v>
      </c>
      <c r="C12" s="6">
        <v>20000</v>
      </c>
      <c r="D12" s="6">
        <v>20000</v>
      </c>
      <c r="E12" s="6">
        <v>20000</v>
      </c>
      <c r="F12" s="6">
        <v>20000</v>
      </c>
      <c r="G12" s="6">
        <v>20000</v>
      </c>
      <c r="H12" s="6">
        <v>20000</v>
      </c>
      <c r="I12" s="6">
        <v>20000</v>
      </c>
      <c r="J12" s="6">
        <v>20000</v>
      </c>
      <c r="K12" s="6">
        <v>20000</v>
      </c>
      <c r="L12" s="6">
        <v>20000</v>
      </c>
      <c r="M12" s="6">
        <v>20000</v>
      </c>
      <c r="N12" s="6">
        <v>20000</v>
      </c>
      <c r="O12" s="7">
        <f t="shared" si="0"/>
        <v>240000</v>
      </c>
    </row>
    <row r="13" spans="2:15" ht="15" customHeight="1" x14ac:dyDescent="0.2">
      <c r="B13" s="10" t="s">
        <v>23</v>
      </c>
      <c r="C13" s="11">
        <f t="shared" ref="C13:N13" si="1">SUM(C6:C12)</f>
        <v>326600</v>
      </c>
      <c r="D13" s="11">
        <f t="shared" si="1"/>
        <v>276600</v>
      </c>
      <c r="E13" s="11">
        <f t="shared" si="1"/>
        <v>296600</v>
      </c>
      <c r="F13" s="11">
        <f t="shared" si="1"/>
        <v>256600</v>
      </c>
      <c r="G13" s="11">
        <f t="shared" si="1"/>
        <v>261600</v>
      </c>
      <c r="H13" s="11">
        <f t="shared" si="1"/>
        <v>251600</v>
      </c>
      <c r="I13" s="11">
        <f t="shared" si="1"/>
        <v>246600</v>
      </c>
      <c r="J13" s="11">
        <f t="shared" si="1"/>
        <v>276600</v>
      </c>
      <c r="K13" s="11">
        <f t="shared" si="1"/>
        <v>286600</v>
      </c>
      <c r="L13" s="11">
        <f t="shared" si="1"/>
        <v>296600</v>
      </c>
      <c r="M13" s="11">
        <f t="shared" si="1"/>
        <v>276600</v>
      </c>
      <c r="N13" s="11">
        <f t="shared" si="1"/>
        <v>266600</v>
      </c>
      <c r="O13" s="11">
        <f t="shared" si="0"/>
        <v>3319200</v>
      </c>
    </row>
    <row r="15" spans="2:15" ht="15" customHeight="1" x14ac:dyDescent="0.2">
      <c r="B15" s="12" t="s">
        <v>24</v>
      </c>
      <c r="C15" s="13">
        <v>889000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3">
        <v>889000</v>
      </c>
    </row>
    <row r="16" spans="2:15" ht="15" customHeight="1" x14ac:dyDescent="0.2">
      <c r="B16" s="15" t="s">
        <v>25</v>
      </c>
      <c r="C16" s="11">
        <f t="shared" ref="C16:N16" si="2">C13+C15</f>
        <v>1215600</v>
      </c>
      <c r="D16" s="11">
        <f t="shared" si="2"/>
        <v>276600</v>
      </c>
      <c r="E16" s="11">
        <f t="shared" si="2"/>
        <v>296600</v>
      </c>
      <c r="F16" s="11">
        <f t="shared" si="2"/>
        <v>256600</v>
      </c>
      <c r="G16" s="11">
        <f t="shared" si="2"/>
        <v>261600</v>
      </c>
      <c r="H16" s="11">
        <f t="shared" si="2"/>
        <v>251600</v>
      </c>
      <c r="I16" s="11">
        <f t="shared" si="2"/>
        <v>246600</v>
      </c>
      <c r="J16" s="11">
        <f t="shared" si="2"/>
        <v>276600</v>
      </c>
      <c r="K16" s="11">
        <f t="shared" si="2"/>
        <v>286600</v>
      </c>
      <c r="L16" s="11">
        <f t="shared" si="2"/>
        <v>296600</v>
      </c>
      <c r="M16" s="11">
        <f t="shared" si="2"/>
        <v>276600</v>
      </c>
      <c r="N16" s="11">
        <f t="shared" si="2"/>
        <v>266600</v>
      </c>
      <c r="O16" s="16">
        <f>SUM(C16:N16)</f>
        <v>4208200</v>
      </c>
    </row>
    <row r="17" spans="2:14" ht="15" customHeight="1" x14ac:dyDescent="0.2">
      <c r="B17" s="17" t="s">
        <v>26</v>
      </c>
      <c r="C17" s="18">
        <f>C16</f>
        <v>1215600</v>
      </c>
      <c r="D17" s="18">
        <f t="shared" ref="D17:N17" si="3">C17+D16</f>
        <v>1492200</v>
      </c>
      <c r="E17" s="18">
        <f t="shared" si="3"/>
        <v>1788800</v>
      </c>
      <c r="F17" s="18">
        <f t="shared" si="3"/>
        <v>2045400</v>
      </c>
      <c r="G17" s="18">
        <f t="shared" si="3"/>
        <v>2307000</v>
      </c>
      <c r="H17" s="18">
        <f t="shared" si="3"/>
        <v>2558600</v>
      </c>
      <c r="I17" s="18">
        <f t="shared" si="3"/>
        <v>2805200</v>
      </c>
      <c r="J17" s="18">
        <f t="shared" si="3"/>
        <v>3081800</v>
      </c>
      <c r="K17" s="18">
        <f t="shared" si="3"/>
        <v>3368400</v>
      </c>
      <c r="L17" s="18">
        <f t="shared" si="3"/>
        <v>3665000</v>
      </c>
      <c r="M17" s="18">
        <f t="shared" si="3"/>
        <v>3941600</v>
      </c>
      <c r="N17" s="18">
        <f t="shared" si="3"/>
        <v>4208200</v>
      </c>
    </row>
    <row r="19" spans="2:14" ht="15" customHeight="1" x14ac:dyDescent="0.2">
      <c r="B19" s="19" t="s">
        <v>27</v>
      </c>
      <c r="C19" s="20">
        <v>13700000</v>
      </c>
    </row>
    <row r="20" spans="2:14" ht="15" customHeight="1" x14ac:dyDescent="0.2">
      <c r="B20" s="19" t="s">
        <v>28</v>
      </c>
      <c r="C20" s="21">
        <f>O16</f>
        <v>4208200</v>
      </c>
    </row>
    <row r="21" spans="2:14" ht="15" customHeight="1" x14ac:dyDescent="0.2">
      <c r="B21" s="19" t="s">
        <v>29</v>
      </c>
      <c r="C21" s="20">
        <f>C19-C20</f>
        <v>9491800</v>
      </c>
    </row>
    <row r="22" spans="2:14" ht="15" customHeight="1" x14ac:dyDescent="0.2">
      <c r="B22" s="19" t="s">
        <v>30</v>
      </c>
      <c r="C22" s="22">
        <f>C20/C19</f>
        <v>0.30716788321167882</v>
      </c>
    </row>
    <row r="60" spans="2:3" ht="15" hidden="1" customHeight="1" x14ac:dyDescent="0.2">
      <c r="B60" s="23" t="s">
        <v>2</v>
      </c>
      <c r="C60" s="23" t="s">
        <v>15</v>
      </c>
    </row>
    <row r="61" spans="2:3" ht="15" hidden="1" customHeight="1" x14ac:dyDescent="0.2">
      <c r="B61" t="s">
        <v>16</v>
      </c>
      <c r="C61" s="24">
        <f t="shared" ref="C61:C67" si="4">O6</f>
        <v>271200</v>
      </c>
    </row>
    <row r="62" spans="2:3" ht="15" hidden="1" customHeight="1" x14ac:dyDescent="0.2">
      <c r="B62" t="s">
        <v>17</v>
      </c>
      <c r="C62" s="24">
        <f t="shared" si="4"/>
        <v>480000</v>
      </c>
    </row>
    <row r="63" spans="2:3" ht="15" hidden="1" customHeight="1" x14ac:dyDescent="0.2">
      <c r="B63" t="s">
        <v>18</v>
      </c>
      <c r="C63" s="24">
        <f t="shared" si="4"/>
        <v>168000</v>
      </c>
    </row>
    <row r="64" spans="2:3" ht="15" hidden="1" customHeight="1" x14ac:dyDescent="0.2">
      <c r="B64" t="s">
        <v>19</v>
      </c>
      <c r="C64" s="24">
        <f t="shared" si="4"/>
        <v>360000</v>
      </c>
    </row>
    <row r="65" spans="2:3" ht="15" hidden="1" customHeight="1" x14ac:dyDescent="0.2">
      <c r="B65" t="s">
        <v>20</v>
      </c>
      <c r="C65" s="24">
        <f t="shared" si="4"/>
        <v>1560000</v>
      </c>
    </row>
    <row r="66" spans="2:3" ht="15" hidden="1" customHeight="1" x14ac:dyDescent="0.2">
      <c r="B66" t="s">
        <v>21</v>
      </c>
      <c r="C66" s="24">
        <f t="shared" si="4"/>
        <v>240000</v>
      </c>
    </row>
    <row r="67" spans="2:3" ht="15" hidden="1" customHeight="1" x14ac:dyDescent="0.2">
      <c r="B67" t="s">
        <v>22</v>
      </c>
      <c r="C67" s="24">
        <f t="shared" si="4"/>
        <v>240000</v>
      </c>
    </row>
  </sheetData>
  <mergeCells count="2">
    <mergeCell ref="B2:N2"/>
    <mergeCell ref="B3:N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B82F6"/>
  </sheetPr>
  <dimension ref="B2:F63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30" customWidth="1"/>
    <col min="3" max="4" width="16" customWidth="1"/>
    <col min="5" max="5" width="14" customWidth="1"/>
    <col min="6" max="6" width="20" customWidth="1"/>
  </cols>
  <sheetData>
    <row r="2" spans="2:6" ht="19.5" customHeight="1" x14ac:dyDescent="0.2">
      <c r="B2" s="3" t="s">
        <v>31</v>
      </c>
      <c r="C2" s="3"/>
      <c r="D2" s="3"/>
      <c r="E2" s="3"/>
      <c r="F2" s="3"/>
    </row>
    <row r="3" spans="2:6" ht="15" customHeight="1" x14ac:dyDescent="0.2">
      <c r="B3" s="2" t="s">
        <v>32</v>
      </c>
      <c r="C3" s="2"/>
      <c r="D3" s="2"/>
      <c r="E3" s="2"/>
      <c r="F3" s="2"/>
    </row>
    <row r="5" spans="2:6" ht="15" customHeight="1" x14ac:dyDescent="0.2">
      <c r="B5" s="4" t="s">
        <v>33</v>
      </c>
      <c r="C5" s="4" t="s">
        <v>34</v>
      </c>
      <c r="D5" s="4" t="s">
        <v>35</v>
      </c>
      <c r="E5" s="4" t="s">
        <v>36</v>
      </c>
      <c r="F5" s="4" t="s">
        <v>37</v>
      </c>
    </row>
    <row r="6" spans="2:6" ht="15" customHeight="1" x14ac:dyDescent="0.2">
      <c r="B6" s="25" t="s">
        <v>38</v>
      </c>
      <c r="C6" s="26">
        <v>590000</v>
      </c>
      <c r="D6" s="27">
        <v>6483.52</v>
      </c>
      <c r="F6" s="28" t="s">
        <v>39</v>
      </c>
    </row>
    <row r="7" spans="2:6" ht="15" customHeight="1" x14ac:dyDescent="0.2">
      <c r="B7" s="29" t="s">
        <v>40</v>
      </c>
      <c r="C7" s="30">
        <v>20000</v>
      </c>
      <c r="D7" s="31">
        <v>219.78</v>
      </c>
      <c r="F7" s="32" t="s">
        <v>39</v>
      </c>
    </row>
    <row r="8" spans="2:6" ht="15" customHeight="1" x14ac:dyDescent="0.2">
      <c r="B8" s="25" t="s">
        <v>41</v>
      </c>
      <c r="C8" s="26">
        <v>62000</v>
      </c>
      <c r="D8" s="27">
        <v>681.32</v>
      </c>
      <c r="F8" s="28" t="s">
        <v>39</v>
      </c>
    </row>
    <row r="9" spans="2:6" ht="15" customHeight="1" x14ac:dyDescent="0.2">
      <c r="B9" s="29" t="s">
        <v>42</v>
      </c>
      <c r="C9" s="30">
        <v>80000</v>
      </c>
      <c r="D9" s="31">
        <v>879.12</v>
      </c>
      <c r="F9" s="32" t="s">
        <v>39</v>
      </c>
    </row>
    <row r="10" spans="2:6" ht="15" customHeight="1" x14ac:dyDescent="0.2">
      <c r="B10" s="25" t="s">
        <v>43</v>
      </c>
      <c r="C10" s="26">
        <v>10000</v>
      </c>
      <c r="D10" s="27">
        <v>109.89</v>
      </c>
      <c r="F10" s="28" t="s">
        <v>39</v>
      </c>
    </row>
    <row r="11" spans="2:6" ht="15" customHeight="1" x14ac:dyDescent="0.2">
      <c r="B11" s="29" t="s">
        <v>44</v>
      </c>
      <c r="C11" s="30">
        <v>10000</v>
      </c>
      <c r="D11" s="31">
        <v>109.89</v>
      </c>
      <c r="F11" s="32" t="s">
        <v>39</v>
      </c>
    </row>
    <row r="12" spans="2:6" ht="15" customHeight="1" x14ac:dyDescent="0.2">
      <c r="B12" s="25" t="s">
        <v>45</v>
      </c>
      <c r="C12" s="26">
        <v>10000</v>
      </c>
      <c r="D12" s="27">
        <v>109.89</v>
      </c>
      <c r="F12" s="28" t="s">
        <v>39</v>
      </c>
    </row>
    <row r="13" spans="2:6" ht="15" customHeight="1" x14ac:dyDescent="0.2">
      <c r="B13" s="29" t="s">
        <v>46</v>
      </c>
      <c r="C13" s="30">
        <v>20000</v>
      </c>
      <c r="D13" s="31">
        <v>219.78</v>
      </c>
      <c r="F13" s="32" t="s">
        <v>39</v>
      </c>
    </row>
    <row r="14" spans="2:6" ht="15" customHeight="1" x14ac:dyDescent="0.2">
      <c r="B14" s="25" t="s">
        <v>47</v>
      </c>
      <c r="C14" s="26">
        <v>80000</v>
      </c>
      <c r="D14" s="27">
        <v>879.12</v>
      </c>
      <c r="F14" s="28" t="s">
        <v>39</v>
      </c>
    </row>
    <row r="15" spans="2:6" ht="15" customHeight="1" x14ac:dyDescent="0.2">
      <c r="B15" s="29" t="s">
        <v>48</v>
      </c>
      <c r="C15" s="30">
        <v>7000</v>
      </c>
      <c r="D15" s="31">
        <v>76.92</v>
      </c>
      <c r="F15" s="32" t="s">
        <v>39</v>
      </c>
    </row>
    <row r="16" spans="2:6" ht="15" customHeight="1" x14ac:dyDescent="0.2">
      <c r="B16" s="33" t="s">
        <v>49</v>
      </c>
      <c r="C16" s="34">
        <v>889000</v>
      </c>
      <c r="D16" s="35">
        <v>9769.23</v>
      </c>
    </row>
    <row r="18" spans="2:6" ht="26.25" customHeight="1" x14ac:dyDescent="0.2">
      <c r="B18" s="36" t="s">
        <v>50</v>
      </c>
      <c r="C18" s="36" t="s">
        <v>34</v>
      </c>
      <c r="D18" s="36" t="s">
        <v>35</v>
      </c>
      <c r="E18" s="36" t="s">
        <v>51</v>
      </c>
      <c r="F18" s="36" t="s">
        <v>52</v>
      </c>
    </row>
    <row r="19" spans="2:6" ht="15" customHeight="1" x14ac:dyDescent="0.2">
      <c r="B19" s="25" t="s">
        <v>16</v>
      </c>
      <c r="C19" s="26">
        <v>22600</v>
      </c>
      <c r="D19" s="27">
        <v>248.4</v>
      </c>
      <c r="E19" s="37">
        <f>C19/C26</f>
        <v>6.9197795468462955E-2</v>
      </c>
      <c r="F19" s="28" t="s">
        <v>53</v>
      </c>
    </row>
    <row r="20" spans="2:6" ht="15" customHeight="1" x14ac:dyDescent="0.2">
      <c r="B20" s="29" t="s">
        <v>17</v>
      </c>
      <c r="C20" s="30">
        <v>40000</v>
      </c>
      <c r="D20" s="31">
        <v>439.6</v>
      </c>
      <c r="E20" s="38">
        <f>C20/C26</f>
        <v>0.1224739742804654</v>
      </c>
      <c r="F20" s="32" t="s">
        <v>53</v>
      </c>
    </row>
    <row r="21" spans="2:6" ht="15" customHeight="1" x14ac:dyDescent="0.2">
      <c r="B21" s="25" t="s">
        <v>18</v>
      </c>
      <c r="C21" s="26">
        <v>14000</v>
      </c>
      <c r="D21" s="27">
        <v>153.9</v>
      </c>
      <c r="E21" s="37">
        <f>C21/C26</f>
        <v>4.2865890998162889E-2</v>
      </c>
      <c r="F21" s="28" t="s">
        <v>53</v>
      </c>
    </row>
    <row r="22" spans="2:6" ht="15" customHeight="1" x14ac:dyDescent="0.2">
      <c r="B22" s="29" t="s">
        <v>19</v>
      </c>
      <c r="C22" s="30">
        <v>30000</v>
      </c>
      <c r="D22" s="31">
        <v>329.7</v>
      </c>
      <c r="E22" s="38">
        <f>C22/C26</f>
        <v>9.1855480710349047E-2</v>
      </c>
      <c r="F22" s="32" t="s">
        <v>53</v>
      </c>
    </row>
    <row r="23" spans="2:6" ht="15" customHeight="1" x14ac:dyDescent="0.2">
      <c r="B23" s="25" t="s">
        <v>20</v>
      </c>
      <c r="C23" s="26">
        <v>180000</v>
      </c>
      <c r="D23" s="27">
        <v>1978</v>
      </c>
      <c r="E23" s="37">
        <f>C23/C26</f>
        <v>0.55113288426209428</v>
      </c>
      <c r="F23" s="28" t="s">
        <v>53</v>
      </c>
    </row>
    <row r="24" spans="2:6" ht="15" customHeight="1" x14ac:dyDescent="0.2">
      <c r="B24" s="29" t="s">
        <v>21</v>
      </c>
      <c r="C24" s="30">
        <v>20000</v>
      </c>
      <c r="D24" s="31">
        <v>219.8</v>
      </c>
      <c r="E24" s="38">
        <f>C24/C26</f>
        <v>6.12369871402327E-2</v>
      </c>
      <c r="F24" s="32" t="s">
        <v>53</v>
      </c>
    </row>
    <row r="25" spans="2:6" ht="15" customHeight="1" x14ac:dyDescent="0.2">
      <c r="B25" s="25" t="s">
        <v>22</v>
      </c>
      <c r="C25" s="26">
        <v>20000</v>
      </c>
      <c r="D25" s="27">
        <v>219.8</v>
      </c>
      <c r="E25" s="37">
        <f>C25/C26</f>
        <v>6.12369871402327E-2</v>
      </c>
      <c r="F25" s="28" t="s">
        <v>53</v>
      </c>
    </row>
    <row r="26" spans="2:6" ht="15" customHeight="1" x14ac:dyDescent="0.2">
      <c r="B26" s="33" t="s">
        <v>54</v>
      </c>
      <c r="C26" s="34">
        <f>SUM(C19:C25)</f>
        <v>326600</v>
      </c>
      <c r="D26" s="35">
        <f>SUM(D19:D25)</f>
        <v>3589.2000000000003</v>
      </c>
    </row>
    <row r="28" spans="2:6" ht="15" customHeight="1" x14ac:dyDescent="0.2">
      <c r="B28" s="15" t="s">
        <v>55</v>
      </c>
      <c r="C28" s="16">
        <v>1215600</v>
      </c>
      <c r="D28" s="39">
        <v>13358.24</v>
      </c>
    </row>
    <row r="53" spans="2:4" ht="15" customHeight="1" x14ac:dyDescent="0.2">
      <c r="B53" s="40" t="s">
        <v>56</v>
      </c>
      <c r="C53" s="41" t="s">
        <v>34</v>
      </c>
      <c r="D53" s="41" t="s">
        <v>35</v>
      </c>
    </row>
    <row r="54" spans="2:4" ht="18" customHeight="1" x14ac:dyDescent="0.2">
      <c r="B54" s="5" t="s">
        <v>57</v>
      </c>
      <c r="C54" s="6">
        <v>5300</v>
      </c>
      <c r="D54" s="42">
        <v>58.2</v>
      </c>
    </row>
    <row r="55" spans="2:4" ht="18" customHeight="1" x14ac:dyDescent="0.2">
      <c r="B55" s="8" t="s">
        <v>58</v>
      </c>
      <c r="C55" s="9">
        <v>5300</v>
      </c>
      <c r="D55" s="43">
        <v>58.2</v>
      </c>
    </row>
    <row r="56" spans="2:4" ht="18" customHeight="1" x14ac:dyDescent="0.2">
      <c r="B56" s="5" t="s">
        <v>59</v>
      </c>
      <c r="C56" s="6">
        <v>500</v>
      </c>
      <c r="D56" s="42">
        <v>5.5</v>
      </c>
    </row>
    <row r="57" spans="2:4" ht="18" customHeight="1" x14ac:dyDescent="0.2">
      <c r="B57" s="8" t="s">
        <v>60</v>
      </c>
      <c r="C57" s="9">
        <v>1500</v>
      </c>
      <c r="D57" s="43">
        <v>16.5</v>
      </c>
    </row>
    <row r="58" spans="2:4" ht="18" customHeight="1" x14ac:dyDescent="0.2">
      <c r="B58" s="5" t="s">
        <v>61</v>
      </c>
      <c r="C58" s="6">
        <v>1000</v>
      </c>
      <c r="D58" s="42">
        <v>11</v>
      </c>
    </row>
    <row r="59" spans="2:4" ht="18" customHeight="1" x14ac:dyDescent="0.2">
      <c r="B59" s="8" t="s">
        <v>62</v>
      </c>
      <c r="C59" s="9">
        <v>2000</v>
      </c>
      <c r="D59" s="43">
        <v>22</v>
      </c>
    </row>
    <row r="60" spans="2:4" ht="18" customHeight="1" x14ac:dyDescent="0.2">
      <c r="B60" s="5" t="s">
        <v>63</v>
      </c>
      <c r="C60" s="6">
        <v>2000</v>
      </c>
      <c r="D60" s="42">
        <v>22</v>
      </c>
    </row>
    <row r="61" spans="2:4" ht="18" customHeight="1" x14ac:dyDescent="0.2">
      <c r="B61" s="8" t="s">
        <v>64</v>
      </c>
      <c r="C61" s="9">
        <v>3000</v>
      </c>
      <c r="D61" s="43">
        <v>33</v>
      </c>
    </row>
    <row r="62" spans="2:4" ht="18" customHeight="1" x14ac:dyDescent="0.2">
      <c r="B62" s="5" t="s">
        <v>65</v>
      </c>
      <c r="C62" s="6">
        <v>2000</v>
      </c>
      <c r="D62" s="42">
        <v>22</v>
      </c>
    </row>
    <row r="63" spans="2:4" ht="15" customHeight="1" x14ac:dyDescent="0.2">
      <c r="B63" s="33" t="s">
        <v>66</v>
      </c>
      <c r="C63" s="34">
        <f>SUM(C54:C62)</f>
        <v>22600</v>
      </c>
      <c r="D63" s="35">
        <f>SUM(D54:D62)</f>
        <v>248.4</v>
      </c>
    </row>
  </sheetData>
  <mergeCells count="2">
    <mergeCell ref="B2:F2"/>
    <mergeCell ref="B3:F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0B981"/>
  </sheetPr>
  <dimension ref="B2:F49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30" customWidth="1"/>
    <col min="3" max="4" width="16" customWidth="1"/>
    <col min="5" max="5" width="14" customWidth="1"/>
    <col min="6" max="6" width="20" customWidth="1"/>
  </cols>
  <sheetData>
    <row r="2" spans="2:6" ht="19.5" customHeight="1" x14ac:dyDescent="0.2">
      <c r="B2" s="3" t="s">
        <v>67</v>
      </c>
      <c r="C2" s="3"/>
      <c r="D2" s="3"/>
      <c r="E2" s="3"/>
      <c r="F2" s="3"/>
    </row>
    <row r="3" spans="2:6" ht="15" customHeight="1" x14ac:dyDescent="0.2">
      <c r="B3" s="2" t="s">
        <v>68</v>
      </c>
      <c r="C3" s="2"/>
      <c r="D3" s="2"/>
      <c r="E3" s="2"/>
      <c r="F3" s="2"/>
    </row>
    <row r="5" spans="2:6" ht="26.25" customHeight="1" x14ac:dyDescent="0.2">
      <c r="B5" s="36" t="s">
        <v>50</v>
      </c>
      <c r="C5" s="36" t="s">
        <v>34</v>
      </c>
      <c r="D5" s="36" t="s">
        <v>35</v>
      </c>
      <c r="E5" s="36" t="s">
        <v>51</v>
      </c>
      <c r="F5" s="36" t="s">
        <v>52</v>
      </c>
    </row>
    <row r="6" spans="2:6" ht="15" customHeight="1" x14ac:dyDescent="0.2">
      <c r="B6" s="25" t="s">
        <v>16</v>
      </c>
      <c r="C6" s="26">
        <v>22600</v>
      </c>
      <c r="D6" s="27">
        <v>248.4</v>
      </c>
      <c r="E6" s="37">
        <f>C6/C13</f>
        <v>8.1706435285610987E-2</v>
      </c>
      <c r="F6" s="28" t="s">
        <v>53</v>
      </c>
    </row>
    <row r="7" spans="2:6" ht="15" customHeight="1" x14ac:dyDescent="0.2">
      <c r="B7" s="29" t="s">
        <v>17</v>
      </c>
      <c r="C7" s="30">
        <v>40000</v>
      </c>
      <c r="D7" s="31">
        <v>439.6</v>
      </c>
      <c r="E7" s="38">
        <f>C7/C13</f>
        <v>0.14461315979754158</v>
      </c>
      <c r="F7" s="32" t="s">
        <v>53</v>
      </c>
    </row>
    <row r="8" spans="2:6" ht="15" customHeight="1" x14ac:dyDescent="0.2">
      <c r="B8" s="25" t="s">
        <v>18</v>
      </c>
      <c r="C8" s="26">
        <v>14000</v>
      </c>
      <c r="D8" s="27">
        <v>153.9</v>
      </c>
      <c r="E8" s="37">
        <f>C8/C13</f>
        <v>5.061460592913955E-2</v>
      </c>
      <c r="F8" s="28" t="s">
        <v>53</v>
      </c>
    </row>
    <row r="9" spans="2:6" ht="15" customHeight="1" x14ac:dyDescent="0.2">
      <c r="B9" s="29" t="s">
        <v>19</v>
      </c>
      <c r="C9" s="30">
        <v>30000</v>
      </c>
      <c r="D9" s="31">
        <v>329.7</v>
      </c>
      <c r="E9" s="38">
        <f>C9/C13</f>
        <v>0.10845986984815618</v>
      </c>
      <c r="F9" s="32" t="s">
        <v>53</v>
      </c>
    </row>
    <row r="10" spans="2:6" ht="15" customHeight="1" x14ac:dyDescent="0.2">
      <c r="B10" s="25" t="s">
        <v>20</v>
      </c>
      <c r="C10" s="26">
        <v>130000</v>
      </c>
      <c r="D10" s="27">
        <v>1428.6</v>
      </c>
      <c r="E10" s="37">
        <f>C10/C13</f>
        <v>0.46999276934201012</v>
      </c>
      <c r="F10" s="28" t="s">
        <v>53</v>
      </c>
    </row>
    <row r="11" spans="2:6" ht="15" customHeight="1" x14ac:dyDescent="0.2">
      <c r="B11" s="29" t="s">
        <v>21</v>
      </c>
      <c r="C11" s="30">
        <v>20000</v>
      </c>
      <c r="D11" s="31">
        <v>219.8</v>
      </c>
      <c r="E11" s="38">
        <f>C11/C13</f>
        <v>7.230657989877079E-2</v>
      </c>
      <c r="F11" s="32" t="s">
        <v>53</v>
      </c>
    </row>
    <row r="12" spans="2:6" ht="15" customHeight="1" x14ac:dyDescent="0.2">
      <c r="B12" s="25" t="s">
        <v>22</v>
      </c>
      <c r="C12" s="26">
        <v>20000</v>
      </c>
      <c r="D12" s="27">
        <v>219.8</v>
      </c>
      <c r="E12" s="37">
        <f>C12/C13</f>
        <v>7.230657989877079E-2</v>
      </c>
      <c r="F12" s="28" t="s">
        <v>53</v>
      </c>
    </row>
    <row r="13" spans="2:6" ht="15" customHeight="1" x14ac:dyDescent="0.2">
      <c r="B13" s="33" t="s">
        <v>54</v>
      </c>
      <c r="C13" s="34">
        <f>SUM(C6:C12)</f>
        <v>276600</v>
      </c>
      <c r="D13" s="35">
        <f>SUM(D6:D12)</f>
        <v>3039.8</v>
      </c>
    </row>
    <row r="39" spans="2:4" ht="15" customHeight="1" x14ac:dyDescent="0.2">
      <c r="B39" s="40" t="s">
        <v>56</v>
      </c>
      <c r="C39" s="41" t="s">
        <v>34</v>
      </c>
      <c r="D39" s="41" t="s">
        <v>35</v>
      </c>
    </row>
    <row r="40" spans="2:4" ht="18" customHeight="1" x14ac:dyDescent="0.2">
      <c r="B40" s="5" t="s">
        <v>57</v>
      </c>
      <c r="C40" s="6">
        <v>5300</v>
      </c>
      <c r="D40" s="42">
        <v>58.2</v>
      </c>
    </row>
    <row r="41" spans="2:4" ht="18" customHeight="1" x14ac:dyDescent="0.2">
      <c r="B41" s="8" t="s">
        <v>58</v>
      </c>
      <c r="C41" s="9">
        <v>5300</v>
      </c>
      <c r="D41" s="43">
        <v>58.2</v>
      </c>
    </row>
    <row r="42" spans="2:4" ht="18" customHeight="1" x14ac:dyDescent="0.2">
      <c r="B42" s="5" t="s">
        <v>59</v>
      </c>
      <c r="C42" s="6">
        <v>500</v>
      </c>
      <c r="D42" s="42">
        <v>5.5</v>
      </c>
    </row>
    <row r="43" spans="2:4" ht="18" customHeight="1" x14ac:dyDescent="0.2">
      <c r="B43" s="8" t="s">
        <v>60</v>
      </c>
      <c r="C43" s="9">
        <v>1500</v>
      </c>
      <c r="D43" s="43">
        <v>16.5</v>
      </c>
    </row>
    <row r="44" spans="2:4" ht="18" customHeight="1" x14ac:dyDescent="0.2">
      <c r="B44" s="5" t="s">
        <v>61</v>
      </c>
      <c r="C44" s="6">
        <v>1000</v>
      </c>
      <c r="D44" s="42">
        <v>11</v>
      </c>
    </row>
    <row r="45" spans="2:4" ht="18" customHeight="1" x14ac:dyDescent="0.2">
      <c r="B45" s="8" t="s">
        <v>62</v>
      </c>
      <c r="C45" s="9">
        <v>2000</v>
      </c>
      <c r="D45" s="43">
        <v>22</v>
      </c>
    </row>
    <row r="46" spans="2:4" ht="18" customHeight="1" x14ac:dyDescent="0.2">
      <c r="B46" s="5" t="s">
        <v>63</v>
      </c>
      <c r="C46" s="6">
        <v>2000</v>
      </c>
      <c r="D46" s="42">
        <v>22</v>
      </c>
    </row>
    <row r="47" spans="2:4" ht="18" customHeight="1" x14ac:dyDescent="0.2">
      <c r="B47" s="8" t="s">
        <v>64</v>
      </c>
      <c r="C47" s="9">
        <v>3000</v>
      </c>
      <c r="D47" s="43">
        <v>33</v>
      </c>
    </row>
    <row r="48" spans="2:4" ht="18" customHeight="1" x14ac:dyDescent="0.2">
      <c r="B48" s="5" t="s">
        <v>65</v>
      </c>
      <c r="C48" s="6">
        <v>2000</v>
      </c>
      <c r="D48" s="42">
        <v>22</v>
      </c>
    </row>
    <row r="49" spans="2:4" ht="15" customHeight="1" x14ac:dyDescent="0.2">
      <c r="B49" s="33" t="s">
        <v>66</v>
      </c>
      <c r="C49" s="34">
        <f>SUM(C40:C48)</f>
        <v>22600</v>
      </c>
      <c r="D49" s="35">
        <f>SUM(D40:D48)</f>
        <v>248.4</v>
      </c>
    </row>
  </sheetData>
  <mergeCells count="2">
    <mergeCell ref="B2:F2"/>
    <mergeCell ref="B3:F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B82F6"/>
  </sheetPr>
  <dimension ref="B2:F49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30" customWidth="1"/>
    <col min="3" max="4" width="16" customWidth="1"/>
    <col min="5" max="5" width="14" customWidth="1"/>
    <col min="6" max="6" width="20" customWidth="1"/>
  </cols>
  <sheetData>
    <row r="2" spans="2:6" ht="19.5" customHeight="1" x14ac:dyDescent="0.2">
      <c r="B2" s="3" t="s">
        <v>69</v>
      </c>
      <c r="C2" s="3"/>
      <c r="D2" s="3"/>
      <c r="E2" s="3"/>
      <c r="F2" s="3"/>
    </row>
    <row r="3" spans="2:6" ht="15" customHeight="1" x14ac:dyDescent="0.2">
      <c r="B3" s="2" t="s">
        <v>70</v>
      </c>
      <c r="C3" s="2"/>
      <c r="D3" s="2"/>
      <c r="E3" s="2"/>
      <c r="F3" s="2"/>
    </row>
    <row r="5" spans="2:6" ht="26.25" customHeight="1" x14ac:dyDescent="0.2">
      <c r="B5" s="36" t="s">
        <v>50</v>
      </c>
      <c r="C5" s="36" t="s">
        <v>34</v>
      </c>
      <c r="D5" s="36" t="s">
        <v>35</v>
      </c>
      <c r="E5" s="36" t="s">
        <v>51</v>
      </c>
      <c r="F5" s="36" t="s">
        <v>52</v>
      </c>
    </row>
    <row r="6" spans="2:6" ht="15" customHeight="1" x14ac:dyDescent="0.2">
      <c r="B6" s="25" t="s">
        <v>16</v>
      </c>
      <c r="C6" s="26">
        <v>22600</v>
      </c>
      <c r="D6" s="27">
        <v>248.4</v>
      </c>
      <c r="E6" s="37">
        <f>C6/C13</f>
        <v>7.6196898179366146E-2</v>
      </c>
      <c r="F6" s="28" t="s">
        <v>53</v>
      </c>
    </row>
    <row r="7" spans="2:6" ht="15" customHeight="1" x14ac:dyDescent="0.2">
      <c r="B7" s="29" t="s">
        <v>17</v>
      </c>
      <c r="C7" s="30">
        <v>40000</v>
      </c>
      <c r="D7" s="31">
        <v>439.6</v>
      </c>
      <c r="E7" s="38">
        <f>C7/C13</f>
        <v>0.13486176668914363</v>
      </c>
      <c r="F7" s="32" t="s">
        <v>53</v>
      </c>
    </row>
    <row r="8" spans="2:6" ht="15" customHeight="1" x14ac:dyDescent="0.2">
      <c r="B8" s="25" t="s">
        <v>18</v>
      </c>
      <c r="C8" s="26">
        <v>14000</v>
      </c>
      <c r="D8" s="27">
        <v>153.9</v>
      </c>
      <c r="E8" s="37">
        <f>C8/C13</f>
        <v>4.720161834120027E-2</v>
      </c>
      <c r="F8" s="28" t="s">
        <v>53</v>
      </c>
    </row>
    <row r="9" spans="2:6" ht="15" customHeight="1" x14ac:dyDescent="0.2">
      <c r="B9" s="29" t="s">
        <v>19</v>
      </c>
      <c r="C9" s="30">
        <v>30000</v>
      </c>
      <c r="D9" s="31">
        <v>329.7</v>
      </c>
      <c r="E9" s="38">
        <f>C9/C13</f>
        <v>0.10114632501685772</v>
      </c>
      <c r="F9" s="32" t="s">
        <v>53</v>
      </c>
    </row>
    <row r="10" spans="2:6" ht="15" customHeight="1" x14ac:dyDescent="0.2">
      <c r="B10" s="25" t="s">
        <v>20</v>
      </c>
      <c r="C10" s="26">
        <v>150000</v>
      </c>
      <c r="D10" s="27">
        <v>1648.4</v>
      </c>
      <c r="E10" s="37">
        <f>C10/C13</f>
        <v>0.50573162508428859</v>
      </c>
      <c r="F10" s="28" t="s">
        <v>53</v>
      </c>
    </row>
    <row r="11" spans="2:6" ht="15" customHeight="1" x14ac:dyDescent="0.2">
      <c r="B11" s="29" t="s">
        <v>21</v>
      </c>
      <c r="C11" s="30">
        <v>20000</v>
      </c>
      <c r="D11" s="31">
        <v>219.8</v>
      </c>
      <c r="E11" s="38">
        <f>C11/C13</f>
        <v>6.7430883344571813E-2</v>
      </c>
      <c r="F11" s="32" t="s">
        <v>53</v>
      </c>
    </row>
    <row r="12" spans="2:6" ht="15" customHeight="1" x14ac:dyDescent="0.2">
      <c r="B12" s="25" t="s">
        <v>22</v>
      </c>
      <c r="C12" s="26">
        <v>20000</v>
      </c>
      <c r="D12" s="27">
        <v>219.8</v>
      </c>
      <c r="E12" s="37">
        <f>C12/C13</f>
        <v>6.7430883344571813E-2</v>
      </c>
      <c r="F12" s="28" t="s">
        <v>53</v>
      </c>
    </row>
    <row r="13" spans="2:6" ht="15" customHeight="1" x14ac:dyDescent="0.2">
      <c r="B13" s="33" t="s">
        <v>54</v>
      </c>
      <c r="C13" s="34">
        <f>SUM(C6:C12)</f>
        <v>296600</v>
      </c>
      <c r="D13" s="35">
        <f>SUM(D6:D12)</f>
        <v>3259.6000000000004</v>
      </c>
    </row>
    <row r="39" spans="2:4" ht="15" customHeight="1" x14ac:dyDescent="0.2">
      <c r="B39" s="40" t="s">
        <v>56</v>
      </c>
      <c r="C39" s="41" t="s">
        <v>34</v>
      </c>
      <c r="D39" s="41" t="s">
        <v>35</v>
      </c>
    </row>
    <row r="40" spans="2:4" ht="18" customHeight="1" x14ac:dyDescent="0.2">
      <c r="B40" s="5" t="s">
        <v>57</v>
      </c>
      <c r="C40" s="6">
        <v>5300</v>
      </c>
      <c r="D40" s="42">
        <v>58.2</v>
      </c>
    </row>
    <row r="41" spans="2:4" ht="18" customHeight="1" x14ac:dyDescent="0.2">
      <c r="B41" s="8" t="s">
        <v>58</v>
      </c>
      <c r="C41" s="9">
        <v>5300</v>
      </c>
      <c r="D41" s="43">
        <v>58.2</v>
      </c>
    </row>
    <row r="42" spans="2:4" ht="18" customHeight="1" x14ac:dyDescent="0.2">
      <c r="B42" s="5" t="s">
        <v>59</v>
      </c>
      <c r="C42" s="6">
        <v>500</v>
      </c>
      <c r="D42" s="42">
        <v>5.5</v>
      </c>
    </row>
    <row r="43" spans="2:4" ht="18" customHeight="1" x14ac:dyDescent="0.2">
      <c r="B43" s="8" t="s">
        <v>60</v>
      </c>
      <c r="C43" s="9">
        <v>1500</v>
      </c>
      <c r="D43" s="43">
        <v>16.5</v>
      </c>
    </row>
    <row r="44" spans="2:4" ht="18" customHeight="1" x14ac:dyDescent="0.2">
      <c r="B44" s="5" t="s">
        <v>61</v>
      </c>
      <c r="C44" s="6">
        <v>1000</v>
      </c>
      <c r="D44" s="42">
        <v>11</v>
      </c>
    </row>
    <row r="45" spans="2:4" ht="18" customHeight="1" x14ac:dyDescent="0.2">
      <c r="B45" s="8" t="s">
        <v>62</v>
      </c>
      <c r="C45" s="9">
        <v>2000</v>
      </c>
      <c r="D45" s="43">
        <v>22</v>
      </c>
    </row>
    <row r="46" spans="2:4" ht="18" customHeight="1" x14ac:dyDescent="0.2">
      <c r="B46" s="5" t="s">
        <v>63</v>
      </c>
      <c r="C46" s="6">
        <v>2000</v>
      </c>
      <c r="D46" s="42">
        <v>22</v>
      </c>
    </row>
    <row r="47" spans="2:4" ht="18" customHeight="1" x14ac:dyDescent="0.2">
      <c r="B47" s="8" t="s">
        <v>64</v>
      </c>
      <c r="C47" s="9">
        <v>3000</v>
      </c>
      <c r="D47" s="43">
        <v>33</v>
      </c>
    </row>
    <row r="48" spans="2:4" ht="18" customHeight="1" x14ac:dyDescent="0.2">
      <c r="B48" s="5" t="s">
        <v>65</v>
      </c>
      <c r="C48" s="6">
        <v>2000</v>
      </c>
      <c r="D48" s="42">
        <v>22</v>
      </c>
    </row>
    <row r="49" spans="2:4" ht="15" customHeight="1" x14ac:dyDescent="0.2">
      <c r="B49" s="33" t="s">
        <v>66</v>
      </c>
      <c r="C49" s="34">
        <f>SUM(C40:C48)</f>
        <v>22600</v>
      </c>
      <c r="D49" s="35">
        <f>SUM(D40:D48)</f>
        <v>248.4</v>
      </c>
    </row>
  </sheetData>
  <mergeCells count="2">
    <mergeCell ref="B2:F2"/>
    <mergeCell ref="B3:F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0B981"/>
  </sheetPr>
  <dimension ref="B2:F49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30" customWidth="1"/>
    <col min="3" max="4" width="16" customWidth="1"/>
    <col min="5" max="5" width="14" customWidth="1"/>
    <col min="6" max="6" width="20" customWidth="1"/>
  </cols>
  <sheetData>
    <row r="2" spans="2:6" ht="19.5" customHeight="1" x14ac:dyDescent="0.2">
      <c r="B2" s="3" t="s">
        <v>71</v>
      </c>
      <c r="C2" s="3"/>
      <c r="D2" s="3"/>
      <c r="E2" s="3"/>
      <c r="F2" s="3"/>
    </row>
    <row r="3" spans="2:6" ht="15" customHeight="1" x14ac:dyDescent="0.2">
      <c r="B3" s="2" t="s">
        <v>72</v>
      </c>
      <c r="C3" s="2"/>
      <c r="D3" s="2"/>
      <c r="E3" s="2"/>
      <c r="F3" s="2"/>
    </row>
    <row r="5" spans="2:6" ht="26.25" customHeight="1" x14ac:dyDescent="0.2">
      <c r="B5" s="36" t="s">
        <v>50</v>
      </c>
      <c r="C5" s="36" t="s">
        <v>34</v>
      </c>
      <c r="D5" s="36" t="s">
        <v>35</v>
      </c>
      <c r="E5" s="36" t="s">
        <v>51</v>
      </c>
      <c r="F5" s="36" t="s">
        <v>52</v>
      </c>
    </row>
    <row r="6" spans="2:6" ht="15" customHeight="1" x14ac:dyDescent="0.2">
      <c r="B6" s="25" t="s">
        <v>16</v>
      </c>
      <c r="C6" s="26">
        <v>22600</v>
      </c>
      <c r="D6" s="27">
        <v>248.4</v>
      </c>
      <c r="E6" s="37">
        <f>C6/C13</f>
        <v>8.8074824629773965E-2</v>
      </c>
      <c r="F6" s="28" t="s">
        <v>53</v>
      </c>
    </row>
    <row r="7" spans="2:6" ht="15" customHeight="1" x14ac:dyDescent="0.2">
      <c r="B7" s="29" t="s">
        <v>17</v>
      </c>
      <c r="C7" s="30">
        <v>40000</v>
      </c>
      <c r="D7" s="31">
        <v>439.6</v>
      </c>
      <c r="E7" s="38">
        <f>C7/C13</f>
        <v>0.1558846453624318</v>
      </c>
      <c r="F7" s="32" t="s">
        <v>53</v>
      </c>
    </row>
    <row r="8" spans="2:6" ht="15" customHeight="1" x14ac:dyDescent="0.2">
      <c r="B8" s="25" t="s">
        <v>18</v>
      </c>
      <c r="C8" s="26">
        <v>14000</v>
      </c>
      <c r="D8" s="27">
        <v>153.9</v>
      </c>
      <c r="E8" s="37">
        <f>C8/C13</f>
        <v>5.4559625876851127E-2</v>
      </c>
      <c r="F8" s="28" t="s">
        <v>53</v>
      </c>
    </row>
    <row r="9" spans="2:6" ht="15" customHeight="1" x14ac:dyDescent="0.2">
      <c r="B9" s="29" t="s">
        <v>19</v>
      </c>
      <c r="C9" s="30">
        <v>30000</v>
      </c>
      <c r="D9" s="31">
        <v>329.7</v>
      </c>
      <c r="E9" s="38">
        <f>C9/C13</f>
        <v>0.11691348402182385</v>
      </c>
      <c r="F9" s="32" t="s">
        <v>53</v>
      </c>
    </row>
    <row r="10" spans="2:6" ht="15" customHeight="1" x14ac:dyDescent="0.2">
      <c r="B10" s="25" t="s">
        <v>20</v>
      </c>
      <c r="C10" s="26">
        <v>110000</v>
      </c>
      <c r="D10" s="27">
        <v>1208.8</v>
      </c>
      <c r="E10" s="37">
        <f>C10/C13</f>
        <v>0.42868277474668748</v>
      </c>
      <c r="F10" s="28" t="s">
        <v>53</v>
      </c>
    </row>
    <row r="11" spans="2:6" ht="15" customHeight="1" x14ac:dyDescent="0.2">
      <c r="B11" s="29" t="s">
        <v>21</v>
      </c>
      <c r="C11" s="30">
        <v>20000</v>
      </c>
      <c r="D11" s="31">
        <v>219.8</v>
      </c>
      <c r="E11" s="38">
        <f>C11/C13</f>
        <v>7.7942322681215898E-2</v>
      </c>
      <c r="F11" s="32" t="s">
        <v>53</v>
      </c>
    </row>
    <row r="12" spans="2:6" ht="15" customHeight="1" x14ac:dyDescent="0.2">
      <c r="B12" s="25" t="s">
        <v>22</v>
      </c>
      <c r="C12" s="26">
        <v>20000</v>
      </c>
      <c r="D12" s="27">
        <v>219.8</v>
      </c>
      <c r="E12" s="37">
        <f>C12/C13</f>
        <v>7.7942322681215898E-2</v>
      </c>
      <c r="F12" s="28" t="s">
        <v>53</v>
      </c>
    </row>
    <row r="13" spans="2:6" ht="15" customHeight="1" x14ac:dyDescent="0.2">
      <c r="B13" s="33" t="s">
        <v>54</v>
      </c>
      <c r="C13" s="34">
        <f>SUM(C6:C12)</f>
        <v>256600</v>
      </c>
      <c r="D13" s="35">
        <f>SUM(D6:D12)</f>
        <v>2820</v>
      </c>
    </row>
    <row r="39" spans="2:4" ht="15" customHeight="1" x14ac:dyDescent="0.2">
      <c r="B39" s="40" t="s">
        <v>56</v>
      </c>
      <c r="C39" s="41" t="s">
        <v>34</v>
      </c>
      <c r="D39" s="41" t="s">
        <v>35</v>
      </c>
    </row>
    <row r="40" spans="2:4" ht="18" customHeight="1" x14ac:dyDescent="0.2">
      <c r="B40" s="5" t="s">
        <v>57</v>
      </c>
      <c r="C40" s="6">
        <v>5300</v>
      </c>
      <c r="D40" s="42">
        <v>58.2</v>
      </c>
    </row>
    <row r="41" spans="2:4" ht="18" customHeight="1" x14ac:dyDescent="0.2">
      <c r="B41" s="8" t="s">
        <v>58</v>
      </c>
      <c r="C41" s="9">
        <v>5300</v>
      </c>
      <c r="D41" s="43">
        <v>58.2</v>
      </c>
    </row>
    <row r="42" spans="2:4" ht="18" customHeight="1" x14ac:dyDescent="0.2">
      <c r="B42" s="5" t="s">
        <v>59</v>
      </c>
      <c r="C42" s="6">
        <v>500</v>
      </c>
      <c r="D42" s="42">
        <v>5.5</v>
      </c>
    </row>
    <row r="43" spans="2:4" ht="18" customHeight="1" x14ac:dyDescent="0.2">
      <c r="B43" s="8" t="s">
        <v>60</v>
      </c>
      <c r="C43" s="9">
        <v>1500</v>
      </c>
      <c r="D43" s="43">
        <v>16.5</v>
      </c>
    </row>
    <row r="44" spans="2:4" ht="18" customHeight="1" x14ac:dyDescent="0.2">
      <c r="B44" s="5" t="s">
        <v>61</v>
      </c>
      <c r="C44" s="6">
        <v>1000</v>
      </c>
      <c r="D44" s="42">
        <v>11</v>
      </c>
    </row>
    <row r="45" spans="2:4" ht="18" customHeight="1" x14ac:dyDescent="0.2">
      <c r="B45" s="8" t="s">
        <v>62</v>
      </c>
      <c r="C45" s="9">
        <v>2000</v>
      </c>
      <c r="D45" s="43">
        <v>22</v>
      </c>
    </row>
    <row r="46" spans="2:4" ht="18" customHeight="1" x14ac:dyDescent="0.2">
      <c r="B46" s="5" t="s">
        <v>63</v>
      </c>
      <c r="C46" s="6">
        <v>2000</v>
      </c>
      <c r="D46" s="42">
        <v>22</v>
      </c>
    </row>
    <row r="47" spans="2:4" ht="18" customHeight="1" x14ac:dyDescent="0.2">
      <c r="B47" s="8" t="s">
        <v>64</v>
      </c>
      <c r="C47" s="9">
        <v>3000</v>
      </c>
      <c r="D47" s="43">
        <v>33</v>
      </c>
    </row>
    <row r="48" spans="2:4" ht="18" customHeight="1" x14ac:dyDescent="0.2">
      <c r="B48" s="5" t="s">
        <v>65</v>
      </c>
      <c r="C48" s="6">
        <v>2000</v>
      </c>
      <c r="D48" s="42">
        <v>22</v>
      </c>
    </row>
    <row r="49" spans="2:4" ht="15" customHeight="1" x14ac:dyDescent="0.2">
      <c r="B49" s="33" t="s">
        <v>66</v>
      </c>
      <c r="C49" s="34">
        <f>SUM(C40:C48)</f>
        <v>22600</v>
      </c>
      <c r="D49" s="35">
        <f>SUM(D40:D48)</f>
        <v>248.4</v>
      </c>
    </row>
  </sheetData>
  <mergeCells count="2">
    <mergeCell ref="B2:F2"/>
    <mergeCell ref="B3:F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B82F6"/>
  </sheetPr>
  <dimension ref="B2:F49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30" customWidth="1"/>
    <col min="3" max="4" width="16" customWidth="1"/>
    <col min="5" max="5" width="14" customWidth="1"/>
    <col min="6" max="6" width="20" customWidth="1"/>
  </cols>
  <sheetData>
    <row r="2" spans="2:6" ht="19.5" customHeight="1" x14ac:dyDescent="0.2">
      <c r="B2" s="3" t="s">
        <v>73</v>
      </c>
      <c r="C2" s="3"/>
      <c r="D2" s="3"/>
      <c r="E2" s="3"/>
      <c r="F2" s="3"/>
    </row>
    <row r="3" spans="2:6" ht="15" customHeight="1" x14ac:dyDescent="0.2">
      <c r="B3" s="2" t="s">
        <v>74</v>
      </c>
      <c r="C3" s="2"/>
      <c r="D3" s="2"/>
      <c r="E3" s="2"/>
      <c r="F3" s="2"/>
    </row>
    <row r="5" spans="2:6" ht="26.25" customHeight="1" x14ac:dyDescent="0.2">
      <c r="B5" s="36" t="s">
        <v>50</v>
      </c>
      <c r="C5" s="36" t="s">
        <v>34</v>
      </c>
      <c r="D5" s="36" t="s">
        <v>35</v>
      </c>
      <c r="E5" s="36" t="s">
        <v>51</v>
      </c>
      <c r="F5" s="36" t="s">
        <v>52</v>
      </c>
    </row>
    <row r="6" spans="2:6" ht="15" customHeight="1" x14ac:dyDescent="0.2">
      <c r="B6" s="25" t="s">
        <v>16</v>
      </c>
      <c r="C6" s="26">
        <v>22600</v>
      </c>
      <c r="D6" s="27">
        <v>248.4</v>
      </c>
      <c r="E6" s="37">
        <f>C6/C13</f>
        <v>8.6391437308868502E-2</v>
      </c>
      <c r="F6" s="28" t="s">
        <v>53</v>
      </c>
    </row>
    <row r="7" spans="2:6" ht="15" customHeight="1" x14ac:dyDescent="0.2">
      <c r="B7" s="29" t="s">
        <v>17</v>
      </c>
      <c r="C7" s="30">
        <v>40000</v>
      </c>
      <c r="D7" s="31">
        <v>439.6</v>
      </c>
      <c r="E7" s="38">
        <f>C7/C13</f>
        <v>0.1529051987767584</v>
      </c>
      <c r="F7" s="32" t="s">
        <v>53</v>
      </c>
    </row>
    <row r="8" spans="2:6" ht="15" customHeight="1" x14ac:dyDescent="0.2">
      <c r="B8" s="25" t="s">
        <v>18</v>
      </c>
      <c r="C8" s="26">
        <v>14000</v>
      </c>
      <c r="D8" s="27">
        <v>153.9</v>
      </c>
      <c r="E8" s="37">
        <f>C8/C13</f>
        <v>5.3516819571865444E-2</v>
      </c>
      <c r="F8" s="28" t="s">
        <v>53</v>
      </c>
    </row>
    <row r="9" spans="2:6" ht="15" customHeight="1" x14ac:dyDescent="0.2">
      <c r="B9" s="29" t="s">
        <v>19</v>
      </c>
      <c r="C9" s="30">
        <v>30000</v>
      </c>
      <c r="D9" s="31">
        <v>329.7</v>
      </c>
      <c r="E9" s="38">
        <f>C9/C13</f>
        <v>0.11467889908256881</v>
      </c>
      <c r="F9" s="32" t="s">
        <v>53</v>
      </c>
    </row>
    <row r="10" spans="2:6" ht="15" customHeight="1" x14ac:dyDescent="0.2">
      <c r="B10" s="25" t="s">
        <v>20</v>
      </c>
      <c r="C10" s="26">
        <v>115000</v>
      </c>
      <c r="D10" s="27">
        <v>1263.7</v>
      </c>
      <c r="E10" s="37">
        <f>C10/C13</f>
        <v>0.43960244648318042</v>
      </c>
      <c r="F10" s="28" t="s">
        <v>53</v>
      </c>
    </row>
    <row r="11" spans="2:6" ht="15" customHeight="1" x14ac:dyDescent="0.2">
      <c r="B11" s="29" t="s">
        <v>21</v>
      </c>
      <c r="C11" s="30">
        <v>20000</v>
      </c>
      <c r="D11" s="31">
        <v>219.8</v>
      </c>
      <c r="E11" s="38">
        <f>C11/C13</f>
        <v>7.64525993883792E-2</v>
      </c>
      <c r="F11" s="32" t="s">
        <v>53</v>
      </c>
    </row>
    <row r="12" spans="2:6" ht="15" customHeight="1" x14ac:dyDescent="0.2">
      <c r="B12" s="25" t="s">
        <v>22</v>
      </c>
      <c r="C12" s="26">
        <v>20000</v>
      </c>
      <c r="D12" s="27">
        <v>219.8</v>
      </c>
      <c r="E12" s="37">
        <f>C12/C13</f>
        <v>7.64525993883792E-2</v>
      </c>
      <c r="F12" s="28" t="s">
        <v>53</v>
      </c>
    </row>
    <row r="13" spans="2:6" ht="15" customHeight="1" x14ac:dyDescent="0.2">
      <c r="B13" s="33" t="s">
        <v>54</v>
      </c>
      <c r="C13" s="34">
        <f>SUM(C6:C12)</f>
        <v>261600</v>
      </c>
      <c r="D13" s="35">
        <f>SUM(D6:D12)</f>
        <v>2874.9000000000005</v>
      </c>
    </row>
    <row r="39" spans="2:4" ht="15" customHeight="1" x14ac:dyDescent="0.2">
      <c r="B39" s="40" t="s">
        <v>56</v>
      </c>
      <c r="C39" s="41" t="s">
        <v>34</v>
      </c>
      <c r="D39" s="41" t="s">
        <v>35</v>
      </c>
    </row>
    <row r="40" spans="2:4" ht="18" customHeight="1" x14ac:dyDescent="0.2">
      <c r="B40" s="5" t="s">
        <v>57</v>
      </c>
      <c r="C40" s="6">
        <v>5300</v>
      </c>
      <c r="D40" s="42">
        <v>58.2</v>
      </c>
    </row>
    <row r="41" spans="2:4" ht="18" customHeight="1" x14ac:dyDescent="0.2">
      <c r="B41" s="8" t="s">
        <v>58</v>
      </c>
      <c r="C41" s="9">
        <v>5300</v>
      </c>
      <c r="D41" s="43">
        <v>58.2</v>
      </c>
    </row>
    <row r="42" spans="2:4" ht="18" customHeight="1" x14ac:dyDescent="0.2">
      <c r="B42" s="5" t="s">
        <v>59</v>
      </c>
      <c r="C42" s="6">
        <v>500</v>
      </c>
      <c r="D42" s="42">
        <v>5.5</v>
      </c>
    </row>
    <row r="43" spans="2:4" ht="18" customHeight="1" x14ac:dyDescent="0.2">
      <c r="B43" s="8" t="s">
        <v>60</v>
      </c>
      <c r="C43" s="9">
        <v>1500</v>
      </c>
      <c r="D43" s="43">
        <v>16.5</v>
      </c>
    </row>
    <row r="44" spans="2:4" ht="18" customHeight="1" x14ac:dyDescent="0.2">
      <c r="B44" s="5" t="s">
        <v>61</v>
      </c>
      <c r="C44" s="6">
        <v>1000</v>
      </c>
      <c r="D44" s="42">
        <v>11</v>
      </c>
    </row>
    <row r="45" spans="2:4" ht="18" customHeight="1" x14ac:dyDescent="0.2">
      <c r="B45" s="8" t="s">
        <v>62</v>
      </c>
      <c r="C45" s="9">
        <v>2000</v>
      </c>
      <c r="D45" s="43">
        <v>22</v>
      </c>
    </row>
    <row r="46" spans="2:4" ht="18" customHeight="1" x14ac:dyDescent="0.2">
      <c r="B46" s="5" t="s">
        <v>63</v>
      </c>
      <c r="C46" s="6">
        <v>2000</v>
      </c>
      <c r="D46" s="42">
        <v>22</v>
      </c>
    </row>
    <row r="47" spans="2:4" ht="18" customHeight="1" x14ac:dyDescent="0.2">
      <c r="B47" s="8" t="s">
        <v>64</v>
      </c>
      <c r="C47" s="9">
        <v>3000</v>
      </c>
      <c r="D47" s="43">
        <v>33</v>
      </c>
    </row>
    <row r="48" spans="2:4" ht="18" customHeight="1" x14ac:dyDescent="0.2">
      <c r="B48" s="5" t="s">
        <v>65</v>
      </c>
      <c r="C48" s="6">
        <v>2000</v>
      </c>
      <c r="D48" s="42">
        <v>22</v>
      </c>
    </row>
    <row r="49" spans="2:4" ht="15" customHeight="1" x14ac:dyDescent="0.2">
      <c r="B49" s="33" t="s">
        <v>66</v>
      </c>
      <c r="C49" s="34">
        <f>SUM(C40:C48)</f>
        <v>22600</v>
      </c>
      <c r="D49" s="35">
        <f>SUM(D40:D48)</f>
        <v>248.4</v>
      </c>
    </row>
  </sheetData>
  <mergeCells count="2">
    <mergeCell ref="B2:F2"/>
    <mergeCell ref="B3:F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0B981"/>
  </sheetPr>
  <dimension ref="B2:F49"/>
  <sheetViews>
    <sheetView showGridLines="0" tabSelected="1" topLeftCell="A3" zoomScaleNormal="100" workbookViewId="0"/>
  </sheetViews>
  <sheetFormatPr baseColWidth="10" defaultColWidth="8.6640625" defaultRowHeight="15" x14ac:dyDescent="0.2"/>
  <cols>
    <col min="1" max="1" width="3" customWidth="1"/>
    <col min="2" max="2" width="30" customWidth="1"/>
    <col min="3" max="4" width="16" customWidth="1"/>
    <col min="5" max="5" width="14" customWidth="1"/>
    <col min="6" max="6" width="20" customWidth="1"/>
  </cols>
  <sheetData>
    <row r="2" spans="2:6" ht="19.5" customHeight="1" x14ac:dyDescent="0.2">
      <c r="B2" s="3" t="s">
        <v>75</v>
      </c>
      <c r="C2" s="3"/>
      <c r="D2" s="3"/>
      <c r="E2" s="3"/>
      <c r="F2" s="3"/>
    </row>
    <row r="3" spans="2:6" ht="15" customHeight="1" x14ac:dyDescent="0.2">
      <c r="B3" s="2" t="s">
        <v>76</v>
      </c>
      <c r="C3" s="2"/>
      <c r="D3" s="2"/>
      <c r="E3" s="2"/>
      <c r="F3" s="2"/>
    </row>
    <row r="5" spans="2:6" ht="26.25" customHeight="1" x14ac:dyDescent="0.2">
      <c r="B5" s="36" t="s">
        <v>50</v>
      </c>
      <c r="C5" s="36" t="s">
        <v>34</v>
      </c>
      <c r="D5" s="36" t="s">
        <v>35</v>
      </c>
      <c r="E5" s="36" t="s">
        <v>51</v>
      </c>
      <c r="F5" s="36" t="s">
        <v>52</v>
      </c>
    </row>
    <row r="6" spans="2:6" ht="15" customHeight="1" x14ac:dyDescent="0.2">
      <c r="B6" s="25" t="s">
        <v>16</v>
      </c>
      <c r="C6" s="26">
        <v>22600</v>
      </c>
      <c r="D6" s="27">
        <v>248.4</v>
      </c>
      <c r="E6" s="37">
        <f>C6/C13</f>
        <v>8.9825119236883938E-2</v>
      </c>
      <c r="F6" s="28" t="s">
        <v>53</v>
      </c>
    </row>
    <row r="7" spans="2:6" ht="15" customHeight="1" x14ac:dyDescent="0.2">
      <c r="B7" s="29" t="s">
        <v>17</v>
      </c>
      <c r="C7" s="30">
        <v>40000</v>
      </c>
      <c r="D7" s="31">
        <v>439.6</v>
      </c>
      <c r="E7" s="38">
        <f>C7/C13</f>
        <v>0.1589825119236884</v>
      </c>
      <c r="F7" s="32" t="s">
        <v>53</v>
      </c>
    </row>
    <row r="8" spans="2:6" ht="15" customHeight="1" x14ac:dyDescent="0.2">
      <c r="B8" s="25" t="s">
        <v>18</v>
      </c>
      <c r="C8" s="26">
        <v>14000</v>
      </c>
      <c r="D8" s="27">
        <v>153.9</v>
      </c>
      <c r="E8" s="37">
        <f>C8/C13</f>
        <v>5.5643879173290937E-2</v>
      </c>
      <c r="F8" s="28" t="s">
        <v>53</v>
      </c>
    </row>
    <row r="9" spans="2:6" ht="15" customHeight="1" x14ac:dyDescent="0.2">
      <c r="B9" s="29" t="s">
        <v>19</v>
      </c>
      <c r="C9" s="30">
        <v>30000</v>
      </c>
      <c r="D9" s="31">
        <v>329.7</v>
      </c>
      <c r="E9" s="38">
        <f>C9/C13</f>
        <v>0.1192368839427663</v>
      </c>
      <c r="F9" s="32" t="s">
        <v>53</v>
      </c>
    </row>
    <row r="10" spans="2:6" ht="15" customHeight="1" x14ac:dyDescent="0.2">
      <c r="B10" s="25" t="s">
        <v>20</v>
      </c>
      <c r="C10" s="26">
        <v>105000</v>
      </c>
      <c r="D10" s="27">
        <v>1153.8</v>
      </c>
      <c r="E10" s="37">
        <f>C10/C13</f>
        <v>0.41732909379968203</v>
      </c>
      <c r="F10" s="28" t="s">
        <v>53</v>
      </c>
    </row>
    <row r="11" spans="2:6" ht="15" customHeight="1" x14ac:dyDescent="0.2">
      <c r="B11" s="29" t="s">
        <v>21</v>
      </c>
      <c r="C11" s="30">
        <v>20000</v>
      </c>
      <c r="D11" s="31">
        <v>219.8</v>
      </c>
      <c r="E11" s="38">
        <f>C11/C13</f>
        <v>7.9491255961844198E-2</v>
      </c>
      <c r="F11" s="32" t="s">
        <v>53</v>
      </c>
    </row>
    <row r="12" spans="2:6" ht="15" customHeight="1" x14ac:dyDescent="0.2">
      <c r="B12" s="25" t="s">
        <v>22</v>
      </c>
      <c r="C12" s="26">
        <v>20000</v>
      </c>
      <c r="D12" s="27">
        <v>219.8</v>
      </c>
      <c r="E12" s="37">
        <f>C12/C13</f>
        <v>7.9491255961844198E-2</v>
      </c>
      <c r="F12" s="28" t="s">
        <v>53</v>
      </c>
    </row>
    <row r="13" spans="2:6" ht="15" customHeight="1" x14ac:dyDescent="0.2">
      <c r="B13" s="33" t="s">
        <v>54</v>
      </c>
      <c r="C13" s="34">
        <f>SUM(C6:C12)</f>
        <v>251600</v>
      </c>
      <c r="D13" s="35">
        <f>SUM(D6:D12)</f>
        <v>2765</v>
      </c>
    </row>
    <row r="39" spans="2:4" ht="15" customHeight="1" x14ac:dyDescent="0.2">
      <c r="B39" s="40" t="s">
        <v>56</v>
      </c>
      <c r="C39" s="41" t="s">
        <v>34</v>
      </c>
      <c r="D39" s="41" t="s">
        <v>35</v>
      </c>
    </row>
    <row r="40" spans="2:4" ht="18" customHeight="1" x14ac:dyDescent="0.2">
      <c r="B40" s="5" t="s">
        <v>57</v>
      </c>
      <c r="C40" s="6">
        <v>5300</v>
      </c>
      <c r="D40" s="42">
        <v>58.2</v>
      </c>
    </row>
    <row r="41" spans="2:4" ht="18" customHeight="1" x14ac:dyDescent="0.2">
      <c r="B41" s="8" t="s">
        <v>58</v>
      </c>
      <c r="C41" s="9">
        <v>5300</v>
      </c>
      <c r="D41" s="43">
        <v>58.2</v>
      </c>
    </row>
    <row r="42" spans="2:4" ht="18" customHeight="1" x14ac:dyDescent="0.2">
      <c r="B42" s="5" t="s">
        <v>59</v>
      </c>
      <c r="C42" s="6">
        <v>500</v>
      </c>
      <c r="D42" s="42">
        <v>5.5</v>
      </c>
    </row>
    <row r="43" spans="2:4" ht="18" customHeight="1" x14ac:dyDescent="0.2">
      <c r="B43" s="8" t="s">
        <v>60</v>
      </c>
      <c r="C43" s="9">
        <v>1500</v>
      </c>
      <c r="D43" s="43">
        <v>16.5</v>
      </c>
    </row>
    <row r="44" spans="2:4" ht="18" customHeight="1" x14ac:dyDescent="0.2">
      <c r="B44" s="5" t="s">
        <v>61</v>
      </c>
      <c r="C44" s="6">
        <v>1000</v>
      </c>
      <c r="D44" s="42">
        <v>11</v>
      </c>
    </row>
    <row r="45" spans="2:4" ht="18" customHeight="1" x14ac:dyDescent="0.2">
      <c r="B45" s="8" t="s">
        <v>62</v>
      </c>
      <c r="C45" s="9">
        <v>2000</v>
      </c>
      <c r="D45" s="43">
        <v>22</v>
      </c>
    </row>
    <row r="46" spans="2:4" ht="18" customHeight="1" x14ac:dyDescent="0.2">
      <c r="B46" s="5" t="s">
        <v>63</v>
      </c>
      <c r="C46" s="6">
        <v>2000</v>
      </c>
      <c r="D46" s="42">
        <v>22</v>
      </c>
    </row>
    <row r="47" spans="2:4" ht="18" customHeight="1" x14ac:dyDescent="0.2">
      <c r="B47" s="8" t="s">
        <v>64</v>
      </c>
      <c r="C47" s="9">
        <v>3000</v>
      </c>
      <c r="D47" s="43">
        <v>33</v>
      </c>
    </row>
    <row r="48" spans="2:4" ht="18" customHeight="1" x14ac:dyDescent="0.2">
      <c r="B48" s="5" t="s">
        <v>65</v>
      </c>
      <c r="C48" s="6">
        <v>2000</v>
      </c>
      <c r="D48" s="42">
        <v>22</v>
      </c>
    </row>
    <row r="49" spans="2:4" ht="15" customHeight="1" x14ac:dyDescent="0.2">
      <c r="B49" s="33" t="s">
        <v>66</v>
      </c>
      <c r="C49" s="34">
        <f>SUM(C40:C48)</f>
        <v>22600</v>
      </c>
      <c r="D49" s="35">
        <f>SUM(D40:D48)</f>
        <v>248.4</v>
      </c>
    </row>
  </sheetData>
  <mergeCells count="2">
    <mergeCell ref="B2:F2"/>
    <mergeCell ref="B3:F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B82F6"/>
  </sheetPr>
  <dimension ref="B2:F49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30" customWidth="1"/>
    <col min="3" max="4" width="16" customWidth="1"/>
    <col min="5" max="5" width="14" customWidth="1"/>
    <col min="6" max="6" width="20" customWidth="1"/>
  </cols>
  <sheetData>
    <row r="2" spans="2:6" ht="19.5" customHeight="1" x14ac:dyDescent="0.2">
      <c r="B2" s="3" t="s">
        <v>77</v>
      </c>
      <c r="C2" s="3"/>
      <c r="D2" s="3"/>
      <c r="E2" s="3"/>
      <c r="F2" s="3"/>
    </row>
    <row r="3" spans="2:6" ht="15" customHeight="1" x14ac:dyDescent="0.2">
      <c r="B3" s="2" t="s">
        <v>78</v>
      </c>
      <c r="C3" s="2"/>
      <c r="D3" s="2"/>
      <c r="E3" s="2"/>
      <c r="F3" s="2"/>
    </row>
    <row r="5" spans="2:6" ht="26.25" customHeight="1" x14ac:dyDescent="0.2">
      <c r="B5" s="36" t="s">
        <v>50</v>
      </c>
      <c r="C5" s="36" t="s">
        <v>34</v>
      </c>
      <c r="D5" s="36" t="s">
        <v>35</v>
      </c>
      <c r="E5" s="36" t="s">
        <v>51</v>
      </c>
      <c r="F5" s="36" t="s">
        <v>52</v>
      </c>
    </row>
    <row r="6" spans="2:6" ht="15" customHeight="1" x14ac:dyDescent="0.2">
      <c r="B6" s="25" t="s">
        <v>16</v>
      </c>
      <c r="C6" s="26">
        <v>22600</v>
      </c>
      <c r="D6" s="27">
        <v>248.4</v>
      </c>
      <c r="E6" s="37">
        <f>C6/C13</f>
        <v>9.1646390916463913E-2</v>
      </c>
      <c r="F6" s="28" t="s">
        <v>53</v>
      </c>
    </row>
    <row r="7" spans="2:6" ht="15" customHeight="1" x14ac:dyDescent="0.2">
      <c r="B7" s="29" t="s">
        <v>17</v>
      </c>
      <c r="C7" s="30">
        <v>40000</v>
      </c>
      <c r="D7" s="31">
        <v>439.6</v>
      </c>
      <c r="E7" s="38">
        <f>C7/C13</f>
        <v>0.16220600162206</v>
      </c>
      <c r="F7" s="32" t="s">
        <v>53</v>
      </c>
    </row>
    <row r="8" spans="2:6" ht="15" customHeight="1" x14ac:dyDescent="0.2">
      <c r="B8" s="25" t="s">
        <v>18</v>
      </c>
      <c r="C8" s="26">
        <v>14000</v>
      </c>
      <c r="D8" s="27">
        <v>153.9</v>
      </c>
      <c r="E8" s="37">
        <f>C8/C13</f>
        <v>5.6772100567721008E-2</v>
      </c>
      <c r="F8" s="28" t="s">
        <v>53</v>
      </c>
    </row>
    <row r="9" spans="2:6" ht="15" customHeight="1" x14ac:dyDescent="0.2">
      <c r="B9" s="29" t="s">
        <v>19</v>
      </c>
      <c r="C9" s="30">
        <v>30000</v>
      </c>
      <c r="D9" s="31">
        <v>329.7</v>
      </c>
      <c r="E9" s="38">
        <f>C9/C13</f>
        <v>0.12165450121654502</v>
      </c>
      <c r="F9" s="32" t="s">
        <v>53</v>
      </c>
    </row>
    <row r="10" spans="2:6" ht="15" customHeight="1" x14ac:dyDescent="0.2">
      <c r="B10" s="25" t="s">
        <v>20</v>
      </c>
      <c r="C10" s="26">
        <v>100000</v>
      </c>
      <c r="D10" s="27">
        <v>1098.9000000000001</v>
      </c>
      <c r="E10" s="37">
        <f>C10/C13</f>
        <v>0.40551500405515006</v>
      </c>
      <c r="F10" s="28" t="s">
        <v>53</v>
      </c>
    </row>
    <row r="11" spans="2:6" ht="15" customHeight="1" x14ac:dyDescent="0.2">
      <c r="B11" s="29" t="s">
        <v>21</v>
      </c>
      <c r="C11" s="30">
        <v>20000</v>
      </c>
      <c r="D11" s="31">
        <v>219.8</v>
      </c>
      <c r="E11" s="38">
        <f>C11/C13</f>
        <v>8.1103000811030002E-2</v>
      </c>
      <c r="F11" s="32" t="s">
        <v>53</v>
      </c>
    </row>
    <row r="12" spans="2:6" ht="15" customHeight="1" x14ac:dyDescent="0.2">
      <c r="B12" s="25" t="s">
        <v>22</v>
      </c>
      <c r="C12" s="26">
        <v>20000</v>
      </c>
      <c r="D12" s="27">
        <v>219.8</v>
      </c>
      <c r="E12" s="37">
        <f>C12/C13</f>
        <v>8.1103000811030002E-2</v>
      </c>
      <c r="F12" s="28" t="s">
        <v>53</v>
      </c>
    </row>
    <row r="13" spans="2:6" ht="15" customHeight="1" x14ac:dyDescent="0.2">
      <c r="B13" s="33" t="s">
        <v>54</v>
      </c>
      <c r="C13" s="34">
        <f>SUM(C6:C12)</f>
        <v>246600</v>
      </c>
      <c r="D13" s="35">
        <f>SUM(D6:D12)</f>
        <v>2710.1000000000004</v>
      </c>
    </row>
    <row r="39" spans="2:4" ht="15" customHeight="1" x14ac:dyDescent="0.2">
      <c r="B39" s="40" t="s">
        <v>56</v>
      </c>
      <c r="C39" s="41" t="s">
        <v>34</v>
      </c>
      <c r="D39" s="41" t="s">
        <v>35</v>
      </c>
    </row>
    <row r="40" spans="2:4" ht="18" customHeight="1" x14ac:dyDescent="0.2">
      <c r="B40" s="5" t="s">
        <v>57</v>
      </c>
      <c r="C40" s="6">
        <v>5300</v>
      </c>
      <c r="D40" s="42">
        <v>58.2</v>
      </c>
    </row>
    <row r="41" spans="2:4" ht="18" customHeight="1" x14ac:dyDescent="0.2">
      <c r="B41" s="8" t="s">
        <v>58</v>
      </c>
      <c r="C41" s="9">
        <v>5300</v>
      </c>
      <c r="D41" s="43">
        <v>58.2</v>
      </c>
    </row>
    <row r="42" spans="2:4" ht="18" customHeight="1" x14ac:dyDescent="0.2">
      <c r="B42" s="5" t="s">
        <v>59</v>
      </c>
      <c r="C42" s="6">
        <v>500</v>
      </c>
      <c r="D42" s="42">
        <v>5.5</v>
      </c>
    </row>
    <row r="43" spans="2:4" ht="18" customHeight="1" x14ac:dyDescent="0.2">
      <c r="B43" s="8" t="s">
        <v>60</v>
      </c>
      <c r="C43" s="9">
        <v>1500</v>
      </c>
      <c r="D43" s="43">
        <v>16.5</v>
      </c>
    </row>
    <row r="44" spans="2:4" ht="18" customHeight="1" x14ac:dyDescent="0.2">
      <c r="B44" s="5" t="s">
        <v>61</v>
      </c>
      <c r="C44" s="6">
        <v>1000</v>
      </c>
      <c r="D44" s="42">
        <v>11</v>
      </c>
    </row>
    <row r="45" spans="2:4" ht="18" customHeight="1" x14ac:dyDescent="0.2">
      <c r="B45" s="8" t="s">
        <v>62</v>
      </c>
      <c r="C45" s="9">
        <v>2000</v>
      </c>
      <c r="D45" s="43">
        <v>22</v>
      </c>
    </row>
    <row r="46" spans="2:4" ht="18" customHeight="1" x14ac:dyDescent="0.2">
      <c r="B46" s="5" t="s">
        <v>63</v>
      </c>
      <c r="C46" s="6">
        <v>2000</v>
      </c>
      <c r="D46" s="42">
        <v>22</v>
      </c>
    </row>
    <row r="47" spans="2:4" ht="18" customHeight="1" x14ac:dyDescent="0.2">
      <c r="B47" s="8" t="s">
        <v>64</v>
      </c>
      <c r="C47" s="9">
        <v>3000</v>
      </c>
      <c r="D47" s="43">
        <v>33</v>
      </c>
    </row>
    <row r="48" spans="2:4" ht="18" customHeight="1" x14ac:dyDescent="0.2">
      <c r="B48" s="5" t="s">
        <v>65</v>
      </c>
      <c r="C48" s="6">
        <v>2000</v>
      </c>
      <c r="D48" s="42">
        <v>22</v>
      </c>
    </row>
    <row r="49" spans="2:4" ht="15" customHeight="1" x14ac:dyDescent="0.2">
      <c r="B49" s="33" t="s">
        <v>66</v>
      </c>
      <c r="C49" s="34">
        <f>SUM(C40:C48)</f>
        <v>22600</v>
      </c>
      <c r="D49" s="35">
        <f>SUM(D40:D48)</f>
        <v>248.4</v>
      </c>
    </row>
  </sheetData>
  <mergeCells count="2">
    <mergeCell ref="B2:F2"/>
    <mergeCell ref="B3:F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0B981"/>
  </sheetPr>
  <dimension ref="B2:F49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30" customWidth="1"/>
    <col min="3" max="4" width="16" customWidth="1"/>
    <col min="5" max="5" width="14" customWidth="1"/>
    <col min="6" max="6" width="20" customWidth="1"/>
  </cols>
  <sheetData>
    <row r="2" spans="2:6" ht="19.5" customHeight="1" x14ac:dyDescent="0.2">
      <c r="B2" s="3" t="s">
        <v>79</v>
      </c>
      <c r="C2" s="3"/>
      <c r="D2" s="3"/>
      <c r="E2" s="3"/>
      <c r="F2" s="3"/>
    </row>
    <row r="3" spans="2:6" ht="15" customHeight="1" x14ac:dyDescent="0.2">
      <c r="B3" s="2" t="s">
        <v>80</v>
      </c>
      <c r="C3" s="2"/>
      <c r="D3" s="2"/>
      <c r="E3" s="2"/>
      <c r="F3" s="2"/>
    </row>
    <row r="5" spans="2:6" ht="26.25" customHeight="1" x14ac:dyDescent="0.2">
      <c r="B5" s="36" t="s">
        <v>50</v>
      </c>
      <c r="C5" s="36" t="s">
        <v>34</v>
      </c>
      <c r="D5" s="36" t="s">
        <v>35</v>
      </c>
      <c r="E5" s="36" t="s">
        <v>51</v>
      </c>
      <c r="F5" s="36" t="s">
        <v>52</v>
      </c>
    </row>
    <row r="6" spans="2:6" ht="15" customHeight="1" x14ac:dyDescent="0.2">
      <c r="B6" s="25" t="s">
        <v>16</v>
      </c>
      <c r="C6" s="26">
        <v>22600</v>
      </c>
      <c r="D6" s="27">
        <v>248.4</v>
      </c>
      <c r="E6" s="37">
        <f>C6/C13</f>
        <v>8.1706435285610987E-2</v>
      </c>
      <c r="F6" s="28" t="s">
        <v>53</v>
      </c>
    </row>
    <row r="7" spans="2:6" ht="15" customHeight="1" x14ac:dyDescent="0.2">
      <c r="B7" s="29" t="s">
        <v>17</v>
      </c>
      <c r="C7" s="30">
        <v>40000</v>
      </c>
      <c r="D7" s="31">
        <v>439.6</v>
      </c>
      <c r="E7" s="38">
        <f>C7/C13</f>
        <v>0.14461315979754158</v>
      </c>
      <c r="F7" s="32" t="s">
        <v>53</v>
      </c>
    </row>
    <row r="8" spans="2:6" ht="15" customHeight="1" x14ac:dyDescent="0.2">
      <c r="B8" s="25" t="s">
        <v>18</v>
      </c>
      <c r="C8" s="26">
        <v>14000</v>
      </c>
      <c r="D8" s="27">
        <v>153.9</v>
      </c>
      <c r="E8" s="37">
        <f>C8/C13</f>
        <v>5.061460592913955E-2</v>
      </c>
      <c r="F8" s="28" t="s">
        <v>53</v>
      </c>
    </row>
    <row r="9" spans="2:6" ht="15" customHeight="1" x14ac:dyDescent="0.2">
      <c r="B9" s="29" t="s">
        <v>19</v>
      </c>
      <c r="C9" s="30">
        <v>30000</v>
      </c>
      <c r="D9" s="31">
        <v>329.7</v>
      </c>
      <c r="E9" s="38">
        <f>C9/C13</f>
        <v>0.10845986984815618</v>
      </c>
      <c r="F9" s="32" t="s">
        <v>53</v>
      </c>
    </row>
    <row r="10" spans="2:6" ht="15" customHeight="1" x14ac:dyDescent="0.2">
      <c r="B10" s="25" t="s">
        <v>20</v>
      </c>
      <c r="C10" s="26">
        <v>130000</v>
      </c>
      <c r="D10" s="27">
        <v>1428.6</v>
      </c>
      <c r="E10" s="37">
        <f>C10/C13</f>
        <v>0.46999276934201012</v>
      </c>
      <c r="F10" s="28" t="s">
        <v>53</v>
      </c>
    </row>
    <row r="11" spans="2:6" ht="15" customHeight="1" x14ac:dyDescent="0.2">
      <c r="B11" s="29" t="s">
        <v>21</v>
      </c>
      <c r="C11" s="30">
        <v>20000</v>
      </c>
      <c r="D11" s="31">
        <v>219.8</v>
      </c>
      <c r="E11" s="38">
        <f>C11/C13</f>
        <v>7.230657989877079E-2</v>
      </c>
      <c r="F11" s="32" t="s">
        <v>53</v>
      </c>
    </row>
    <row r="12" spans="2:6" ht="15" customHeight="1" x14ac:dyDescent="0.2">
      <c r="B12" s="25" t="s">
        <v>22</v>
      </c>
      <c r="C12" s="26">
        <v>20000</v>
      </c>
      <c r="D12" s="27">
        <v>219.8</v>
      </c>
      <c r="E12" s="37">
        <f>C12/C13</f>
        <v>7.230657989877079E-2</v>
      </c>
      <c r="F12" s="28" t="s">
        <v>53</v>
      </c>
    </row>
    <row r="13" spans="2:6" ht="15" customHeight="1" x14ac:dyDescent="0.2">
      <c r="B13" s="33" t="s">
        <v>54</v>
      </c>
      <c r="C13" s="34">
        <f>SUM(C6:C12)</f>
        <v>276600</v>
      </c>
      <c r="D13" s="35">
        <f>SUM(D6:D12)</f>
        <v>3039.8</v>
      </c>
    </row>
    <row r="39" spans="2:4" ht="15" customHeight="1" x14ac:dyDescent="0.2">
      <c r="B39" s="40" t="s">
        <v>56</v>
      </c>
      <c r="C39" s="41" t="s">
        <v>34</v>
      </c>
      <c r="D39" s="41" t="s">
        <v>35</v>
      </c>
    </row>
    <row r="40" spans="2:4" ht="18" customHeight="1" x14ac:dyDescent="0.2">
      <c r="B40" s="5" t="s">
        <v>57</v>
      </c>
      <c r="C40" s="6">
        <v>5300</v>
      </c>
      <c r="D40" s="42">
        <v>58.2</v>
      </c>
    </row>
    <row r="41" spans="2:4" ht="18" customHeight="1" x14ac:dyDescent="0.2">
      <c r="B41" s="8" t="s">
        <v>58</v>
      </c>
      <c r="C41" s="9">
        <v>5300</v>
      </c>
      <c r="D41" s="43">
        <v>58.2</v>
      </c>
    </row>
    <row r="42" spans="2:4" ht="18" customHeight="1" x14ac:dyDescent="0.2">
      <c r="B42" s="5" t="s">
        <v>59</v>
      </c>
      <c r="C42" s="6">
        <v>500</v>
      </c>
      <c r="D42" s="42">
        <v>5.5</v>
      </c>
    </row>
    <row r="43" spans="2:4" ht="18" customHeight="1" x14ac:dyDescent="0.2">
      <c r="B43" s="8" t="s">
        <v>60</v>
      </c>
      <c r="C43" s="9">
        <v>1500</v>
      </c>
      <c r="D43" s="43">
        <v>16.5</v>
      </c>
    </row>
    <row r="44" spans="2:4" ht="18" customHeight="1" x14ac:dyDescent="0.2">
      <c r="B44" s="5" t="s">
        <v>61</v>
      </c>
      <c r="C44" s="6">
        <v>1000</v>
      </c>
      <c r="D44" s="42">
        <v>11</v>
      </c>
    </row>
    <row r="45" spans="2:4" ht="18" customHeight="1" x14ac:dyDescent="0.2">
      <c r="B45" s="8" t="s">
        <v>62</v>
      </c>
      <c r="C45" s="9">
        <v>2000</v>
      </c>
      <c r="D45" s="43">
        <v>22</v>
      </c>
    </row>
    <row r="46" spans="2:4" ht="18" customHeight="1" x14ac:dyDescent="0.2">
      <c r="B46" s="5" t="s">
        <v>63</v>
      </c>
      <c r="C46" s="6">
        <v>2000</v>
      </c>
      <c r="D46" s="42">
        <v>22</v>
      </c>
    </row>
    <row r="47" spans="2:4" ht="18" customHeight="1" x14ac:dyDescent="0.2">
      <c r="B47" s="8" t="s">
        <v>64</v>
      </c>
      <c r="C47" s="9">
        <v>3000</v>
      </c>
      <c r="D47" s="43">
        <v>33</v>
      </c>
    </row>
    <row r="48" spans="2:4" ht="18" customHeight="1" x14ac:dyDescent="0.2">
      <c r="B48" s="5" t="s">
        <v>65</v>
      </c>
      <c r="C48" s="6">
        <v>2000</v>
      </c>
      <c r="D48" s="42">
        <v>22</v>
      </c>
    </row>
    <row r="49" spans="2:4" ht="15" customHeight="1" x14ac:dyDescent="0.2">
      <c r="B49" s="33" t="s">
        <v>66</v>
      </c>
      <c r="C49" s="34">
        <f>SUM(C40:C48)</f>
        <v>22600</v>
      </c>
      <c r="D49" s="35">
        <f>SUM(D40:D48)</f>
        <v>248.4</v>
      </c>
    </row>
  </sheetData>
  <mergeCells count="2">
    <mergeCell ref="B2:F2"/>
    <mergeCell ref="B3:F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3B82F6"/>
  </sheetPr>
  <dimension ref="B2:F49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30" customWidth="1"/>
    <col min="3" max="4" width="16" customWidth="1"/>
    <col min="5" max="5" width="14" customWidth="1"/>
    <col min="6" max="6" width="20" customWidth="1"/>
  </cols>
  <sheetData>
    <row r="2" spans="2:6" ht="19.5" customHeight="1" x14ac:dyDescent="0.2">
      <c r="B2" s="3" t="s">
        <v>81</v>
      </c>
      <c r="C2" s="3"/>
      <c r="D2" s="3"/>
      <c r="E2" s="3"/>
      <c r="F2" s="3"/>
    </row>
    <row r="3" spans="2:6" ht="15" customHeight="1" x14ac:dyDescent="0.2">
      <c r="B3" s="2" t="s">
        <v>82</v>
      </c>
      <c r="C3" s="2"/>
      <c r="D3" s="2"/>
      <c r="E3" s="2"/>
      <c r="F3" s="2"/>
    </row>
    <row r="5" spans="2:6" ht="26.25" customHeight="1" x14ac:dyDescent="0.2">
      <c r="B5" s="36" t="s">
        <v>50</v>
      </c>
      <c r="C5" s="36" t="s">
        <v>34</v>
      </c>
      <c r="D5" s="36" t="s">
        <v>35</v>
      </c>
      <c r="E5" s="36" t="s">
        <v>51</v>
      </c>
      <c r="F5" s="36" t="s">
        <v>52</v>
      </c>
    </row>
    <row r="6" spans="2:6" ht="15" customHeight="1" x14ac:dyDescent="0.2">
      <c r="B6" s="25" t="s">
        <v>16</v>
      </c>
      <c r="C6" s="26">
        <v>22600</v>
      </c>
      <c r="D6" s="27">
        <v>248.4</v>
      </c>
      <c r="E6" s="37">
        <f>C6/C13</f>
        <v>7.8855547801814377E-2</v>
      </c>
      <c r="F6" s="28" t="s">
        <v>53</v>
      </c>
    </row>
    <row r="7" spans="2:6" ht="15" customHeight="1" x14ac:dyDescent="0.2">
      <c r="B7" s="29" t="s">
        <v>17</v>
      </c>
      <c r="C7" s="30">
        <v>40000</v>
      </c>
      <c r="D7" s="31">
        <v>439.6</v>
      </c>
      <c r="E7" s="38">
        <f>C7/C13</f>
        <v>0.13956734124214934</v>
      </c>
      <c r="F7" s="32" t="s">
        <v>53</v>
      </c>
    </row>
    <row r="8" spans="2:6" ht="15" customHeight="1" x14ac:dyDescent="0.2">
      <c r="B8" s="25" t="s">
        <v>18</v>
      </c>
      <c r="C8" s="26">
        <v>14000</v>
      </c>
      <c r="D8" s="27">
        <v>153.9</v>
      </c>
      <c r="E8" s="37">
        <f>C8/C13</f>
        <v>4.884856943475227E-2</v>
      </c>
      <c r="F8" s="28" t="s">
        <v>53</v>
      </c>
    </row>
    <row r="9" spans="2:6" ht="15" customHeight="1" x14ac:dyDescent="0.2">
      <c r="B9" s="29" t="s">
        <v>19</v>
      </c>
      <c r="C9" s="30">
        <v>30000</v>
      </c>
      <c r="D9" s="31">
        <v>329.7</v>
      </c>
      <c r="E9" s="38">
        <f>C9/C13</f>
        <v>0.104675505931612</v>
      </c>
      <c r="F9" s="32" t="s">
        <v>53</v>
      </c>
    </row>
    <row r="10" spans="2:6" ht="15" customHeight="1" x14ac:dyDescent="0.2">
      <c r="B10" s="25" t="s">
        <v>20</v>
      </c>
      <c r="C10" s="26">
        <v>140000</v>
      </c>
      <c r="D10" s="27">
        <v>1538.5</v>
      </c>
      <c r="E10" s="37">
        <f>C10/C13</f>
        <v>0.4884856943475227</v>
      </c>
      <c r="F10" s="28" t="s">
        <v>53</v>
      </c>
    </row>
    <row r="11" spans="2:6" ht="15" customHeight="1" x14ac:dyDescent="0.2">
      <c r="B11" s="29" t="s">
        <v>21</v>
      </c>
      <c r="C11" s="30">
        <v>20000</v>
      </c>
      <c r="D11" s="31">
        <v>219.8</v>
      </c>
      <c r="E11" s="38">
        <f>C11/C13</f>
        <v>6.978367062107467E-2</v>
      </c>
      <c r="F11" s="32" t="s">
        <v>53</v>
      </c>
    </row>
    <row r="12" spans="2:6" ht="15" customHeight="1" x14ac:dyDescent="0.2">
      <c r="B12" s="25" t="s">
        <v>22</v>
      </c>
      <c r="C12" s="26">
        <v>20000</v>
      </c>
      <c r="D12" s="27">
        <v>219.8</v>
      </c>
      <c r="E12" s="37">
        <f>C12/C13</f>
        <v>6.978367062107467E-2</v>
      </c>
      <c r="F12" s="28" t="s">
        <v>53</v>
      </c>
    </row>
    <row r="13" spans="2:6" ht="15" customHeight="1" x14ac:dyDescent="0.2">
      <c r="B13" s="33" t="s">
        <v>54</v>
      </c>
      <c r="C13" s="34">
        <f>SUM(C6:C12)</f>
        <v>286600</v>
      </c>
      <c r="D13" s="35">
        <f>SUM(D6:D12)</f>
        <v>3149.7000000000003</v>
      </c>
    </row>
    <row r="39" spans="2:4" ht="15" customHeight="1" x14ac:dyDescent="0.2">
      <c r="B39" s="40" t="s">
        <v>56</v>
      </c>
      <c r="C39" s="41" t="s">
        <v>34</v>
      </c>
      <c r="D39" s="41" t="s">
        <v>35</v>
      </c>
    </row>
    <row r="40" spans="2:4" ht="18" customHeight="1" x14ac:dyDescent="0.2">
      <c r="B40" s="5" t="s">
        <v>57</v>
      </c>
      <c r="C40" s="6">
        <v>5300</v>
      </c>
      <c r="D40" s="42">
        <v>58.2</v>
      </c>
    </row>
    <row r="41" spans="2:4" ht="18" customHeight="1" x14ac:dyDescent="0.2">
      <c r="B41" s="8" t="s">
        <v>58</v>
      </c>
      <c r="C41" s="9">
        <v>5300</v>
      </c>
      <c r="D41" s="43">
        <v>58.2</v>
      </c>
    </row>
    <row r="42" spans="2:4" ht="18" customHeight="1" x14ac:dyDescent="0.2">
      <c r="B42" s="5" t="s">
        <v>59</v>
      </c>
      <c r="C42" s="6">
        <v>500</v>
      </c>
      <c r="D42" s="42">
        <v>5.5</v>
      </c>
    </row>
    <row r="43" spans="2:4" ht="18" customHeight="1" x14ac:dyDescent="0.2">
      <c r="B43" s="8" t="s">
        <v>60</v>
      </c>
      <c r="C43" s="9">
        <v>1500</v>
      </c>
      <c r="D43" s="43">
        <v>16.5</v>
      </c>
    </row>
    <row r="44" spans="2:4" ht="18" customHeight="1" x14ac:dyDescent="0.2">
      <c r="B44" s="5" t="s">
        <v>61</v>
      </c>
      <c r="C44" s="6">
        <v>1000</v>
      </c>
      <c r="D44" s="42">
        <v>11</v>
      </c>
    </row>
    <row r="45" spans="2:4" ht="18" customHeight="1" x14ac:dyDescent="0.2">
      <c r="B45" s="8" t="s">
        <v>62</v>
      </c>
      <c r="C45" s="9">
        <v>2000</v>
      </c>
      <c r="D45" s="43">
        <v>22</v>
      </c>
    </row>
    <row r="46" spans="2:4" ht="18" customHeight="1" x14ac:dyDescent="0.2">
      <c r="B46" s="5" t="s">
        <v>63</v>
      </c>
      <c r="C46" s="6">
        <v>2000</v>
      </c>
      <c r="D46" s="42">
        <v>22</v>
      </c>
    </row>
    <row r="47" spans="2:4" ht="18" customHeight="1" x14ac:dyDescent="0.2">
      <c r="B47" s="8" t="s">
        <v>64</v>
      </c>
      <c r="C47" s="9">
        <v>3000</v>
      </c>
      <c r="D47" s="43">
        <v>33</v>
      </c>
    </row>
    <row r="48" spans="2:4" ht="18" customHeight="1" x14ac:dyDescent="0.2">
      <c r="B48" s="5" t="s">
        <v>65</v>
      </c>
      <c r="C48" s="6">
        <v>2000</v>
      </c>
      <c r="D48" s="42">
        <v>22</v>
      </c>
    </row>
    <row r="49" spans="2:4" ht="15" customHeight="1" x14ac:dyDescent="0.2">
      <c r="B49" s="33" t="s">
        <v>66</v>
      </c>
      <c r="C49" s="34">
        <f>SUM(C40:C48)</f>
        <v>22600</v>
      </c>
      <c r="D49" s="35">
        <f>SUM(D40:D48)</f>
        <v>248.4</v>
      </c>
    </row>
  </sheetData>
  <mergeCells count="2">
    <mergeCell ref="B2:F2"/>
    <mergeCell ref="B3:F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0B981"/>
  </sheetPr>
  <dimension ref="B2:F49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30" customWidth="1"/>
    <col min="3" max="4" width="16" customWidth="1"/>
    <col min="5" max="5" width="14" customWidth="1"/>
    <col min="6" max="6" width="20" customWidth="1"/>
  </cols>
  <sheetData>
    <row r="2" spans="2:6" ht="19.5" customHeight="1" x14ac:dyDescent="0.2">
      <c r="B2" s="3" t="s">
        <v>83</v>
      </c>
      <c r="C2" s="3"/>
      <c r="D2" s="3"/>
      <c r="E2" s="3"/>
      <c r="F2" s="3"/>
    </row>
    <row r="3" spans="2:6" ht="15" customHeight="1" x14ac:dyDescent="0.2">
      <c r="B3" s="2" t="s">
        <v>84</v>
      </c>
      <c r="C3" s="2"/>
      <c r="D3" s="2"/>
      <c r="E3" s="2"/>
      <c r="F3" s="2"/>
    </row>
    <row r="5" spans="2:6" ht="26.25" customHeight="1" x14ac:dyDescent="0.2">
      <c r="B5" s="36" t="s">
        <v>50</v>
      </c>
      <c r="C5" s="36" t="s">
        <v>34</v>
      </c>
      <c r="D5" s="36" t="s">
        <v>35</v>
      </c>
      <c r="E5" s="36" t="s">
        <v>51</v>
      </c>
      <c r="F5" s="36" t="s">
        <v>52</v>
      </c>
    </row>
    <row r="6" spans="2:6" ht="15" customHeight="1" x14ac:dyDescent="0.2">
      <c r="B6" s="25" t="s">
        <v>16</v>
      </c>
      <c r="C6" s="26">
        <v>22600</v>
      </c>
      <c r="D6" s="27">
        <v>248.4</v>
      </c>
      <c r="E6" s="37">
        <f>C6/C13</f>
        <v>7.6196898179366146E-2</v>
      </c>
      <c r="F6" s="28" t="s">
        <v>53</v>
      </c>
    </row>
    <row r="7" spans="2:6" ht="15" customHeight="1" x14ac:dyDescent="0.2">
      <c r="B7" s="29" t="s">
        <v>17</v>
      </c>
      <c r="C7" s="30">
        <v>40000</v>
      </c>
      <c r="D7" s="31">
        <v>439.6</v>
      </c>
      <c r="E7" s="38">
        <f>C7/C13</f>
        <v>0.13486176668914363</v>
      </c>
      <c r="F7" s="32" t="s">
        <v>53</v>
      </c>
    </row>
    <row r="8" spans="2:6" ht="15" customHeight="1" x14ac:dyDescent="0.2">
      <c r="B8" s="25" t="s">
        <v>18</v>
      </c>
      <c r="C8" s="26">
        <v>14000</v>
      </c>
      <c r="D8" s="27">
        <v>153.9</v>
      </c>
      <c r="E8" s="37">
        <f>C8/C13</f>
        <v>4.720161834120027E-2</v>
      </c>
      <c r="F8" s="28" t="s">
        <v>53</v>
      </c>
    </row>
    <row r="9" spans="2:6" ht="15" customHeight="1" x14ac:dyDescent="0.2">
      <c r="B9" s="29" t="s">
        <v>19</v>
      </c>
      <c r="C9" s="30">
        <v>30000</v>
      </c>
      <c r="D9" s="31">
        <v>329.7</v>
      </c>
      <c r="E9" s="38">
        <f>C9/C13</f>
        <v>0.10114632501685772</v>
      </c>
      <c r="F9" s="32" t="s">
        <v>53</v>
      </c>
    </row>
    <row r="10" spans="2:6" ht="15" customHeight="1" x14ac:dyDescent="0.2">
      <c r="B10" s="25" t="s">
        <v>20</v>
      </c>
      <c r="C10" s="26">
        <v>150000</v>
      </c>
      <c r="D10" s="27">
        <v>1648.4</v>
      </c>
      <c r="E10" s="37">
        <f>C10/C13</f>
        <v>0.50573162508428859</v>
      </c>
      <c r="F10" s="28" t="s">
        <v>53</v>
      </c>
    </row>
    <row r="11" spans="2:6" ht="15" customHeight="1" x14ac:dyDescent="0.2">
      <c r="B11" s="29" t="s">
        <v>21</v>
      </c>
      <c r="C11" s="30">
        <v>20000</v>
      </c>
      <c r="D11" s="31">
        <v>219.8</v>
      </c>
      <c r="E11" s="38">
        <f>C11/C13</f>
        <v>6.7430883344571813E-2</v>
      </c>
      <c r="F11" s="32" t="s">
        <v>53</v>
      </c>
    </row>
    <row r="12" spans="2:6" ht="15" customHeight="1" x14ac:dyDescent="0.2">
      <c r="B12" s="25" t="s">
        <v>22</v>
      </c>
      <c r="C12" s="26">
        <v>20000</v>
      </c>
      <c r="D12" s="27">
        <v>219.8</v>
      </c>
      <c r="E12" s="37">
        <f>C12/C13</f>
        <v>6.7430883344571813E-2</v>
      </c>
      <c r="F12" s="28" t="s">
        <v>53</v>
      </c>
    </row>
    <row r="13" spans="2:6" ht="15" customHeight="1" x14ac:dyDescent="0.2">
      <c r="B13" s="33" t="s">
        <v>54</v>
      </c>
      <c r="C13" s="34">
        <f>SUM(C6:C12)</f>
        <v>296600</v>
      </c>
      <c r="D13" s="35">
        <f>SUM(D6:D12)</f>
        <v>3259.6000000000004</v>
      </c>
    </row>
    <row r="39" spans="2:4" ht="15" customHeight="1" x14ac:dyDescent="0.2">
      <c r="B39" s="40" t="s">
        <v>56</v>
      </c>
      <c r="C39" s="41" t="s">
        <v>34</v>
      </c>
      <c r="D39" s="41" t="s">
        <v>35</v>
      </c>
    </row>
    <row r="40" spans="2:4" ht="18" customHeight="1" x14ac:dyDescent="0.2">
      <c r="B40" s="5" t="s">
        <v>57</v>
      </c>
      <c r="C40" s="6">
        <v>5300</v>
      </c>
      <c r="D40" s="42">
        <v>58.2</v>
      </c>
    </row>
    <row r="41" spans="2:4" ht="18" customHeight="1" x14ac:dyDescent="0.2">
      <c r="B41" s="8" t="s">
        <v>58</v>
      </c>
      <c r="C41" s="9">
        <v>5300</v>
      </c>
      <c r="D41" s="43">
        <v>58.2</v>
      </c>
    </row>
    <row r="42" spans="2:4" ht="18" customHeight="1" x14ac:dyDescent="0.2">
      <c r="B42" s="5" t="s">
        <v>59</v>
      </c>
      <c r="C42" s="6">
        <v>500</v>
      </c>
      <c r="D42" s="42">
        <v>5.5</v>
      </c>
    </row>
    <row r="43" spans="2:4" ht="18" customHeight="1" x14ac:dyDescent="0.2">
      <c r="B43" s="8" t="s">
        <v>60</v>
      </c>
      <c r="C43" s="9">
        <v>1500</v>
      </c>
      <c r="D43" s="43">
        <v>16.5</v>
      </c>
    </row>
    <row r="44" spans="2:4" ht="18" customHeight="1" x14ac:dyDescent="0.2">
      <c r="B44" s="5" t="s">
        <v>61</v>
      </c>
      <c r="C44" s="6">
        <v>1000</v>
      </c>
      <c r="D44" s="42">
        <v>11</v>
      </c>
    </row>
    <row r="45" spans="2:4" ht="18" customHeight="1" x14ac:dyDescent="0.2">
      <c r="B45" s="8" t="s">
        <v>62</v>
      </c>
      <c r="C45" s="9">
        <v>2000</v>
      </c>
      <c r="D45" s="43">
        <v>22</v>
      </c>
    </row>
    <row r="46" spans="2:4" ht="18" customHeight="1" x14ac:dyDescent="0.2">
      <c r="B46" s="5" t="s">
        <v>63</v>
      </c>
      <c r="C46" s="6">
        <v>2000</v>
      </c>
      <c r="D46" s="42">
        <v>22</v>
      </c>
    </row>
    <row r="47" spans="2:4" ht="18" customHeight="1" x14ac:dyDescent="0.2">
      <c r="B47" s="8" t="s">
        <v>64</v>
      </c>
      <c r="C47" s="9">
        <v>3000</v>
      </c>
      <c r="D47" s="43">
        <v>33</v>
      </c>
    </row>
    <row r="48" spans="2:4" ht="18" customHeight="1" x14ac:dyDescent="0.2">
      <c r="B48" s="5" t="s">
        <v>65</v>
      </c>
      <c r="C48" s="6">
        <v>2000</v>
      </c>
      <c r="D48" s="42">
        <v>22</v>
      </c>
    </row>
    <row r="49" spans="2:4" ht="15" customHeight="1" x14ac:dyDescent="0.2">
      <c r="B49" s="33" t="s">
        <v>66</v>
      </c>
      <c r="C49" s="34">
        <f>SUM(C40:C48)</f>
        <v>22600</v>
      </c>
      <c r="D49" s="35">
        <f>SUM(D40:D48)</f>
        <v>248.4</v>
      </c>
    </row>
  </sheetData>
  <mergeCells count="2">
    <mergeCell ref="B2:F2"/>
    <mergeCell ref="B3:F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3B82F6"/>
  </sheetPr>
  <dimension ref="B2:F49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30" customWidth="1"/>
    <col min="3" max="4" width="16" customWidth="1"/>
    <col min="5" max="5" width="14" customWidth="1"/>
    <col min="6" max="6" width="20" customWidth="1"/>
  </cols>
  <sheetData>
    <row r="2" spans="2:6" ht="19.5" customHeight="1" x14ac:dyDescent="0.2">
      <c r="B2" s="3" t="s">
        <v>85</v>
      </c>
      <c r="C2" s="3"/>
      <c r="D2" s="3"/>
      <c r="E2" s="3"/>
      <c r="F2" s="3"/>
    </row>
    <row r="3" spans="2:6" ht="15" customHeight="1" x14ac:dyDescent="0.2">
      <c r="B3" s="2" t="s">
        <v>86</v>
      </c>
      <c r="C3" s="2"/>
      <c r="D3" s="2"/>
      <c r="E3" s="2"/>
      <c r="F3" s="2"/>
    </row>
    <row r="5" spans="2:6" ht="26.25" customHeight="1" x14ac:dyDescent="0.2">
      <c r="B5" s="36" t="s">
        <v>50</v>
      </c>
      <c r="C5" s="36" t="s">
        <v>34</v>
      </c>
      <c r="D5" s="36" t="s">
        <v>35</v>
      </c>
      <c r="E5" s="36" t="s">
        <v>51</v>
      </c>
      <c r="F5" s="36" t="s">
        <v>52</v>
      </c>
    </row>
    <row r="6" spans="2:6" ht="15" customHeight="1" x14ac:dyDescent="0.2">
      <c r="B6" s="25" t="s">
        <v>16</v>
      </c>
      <c r="C6" s="26">
        <v>22600</v>
      </c>
      <c r="D6" s="27">
        <v>248.4</v>
      </c>
      <c r="E6" s="37">
        <f>C6/C13</f>
        <v>8.1706435285610987E-2</v>
      </c>
      <c r="F6" s="28" t="s">
        <v>53</v>
      </c>
    </row>
    <row r="7" spans="2:6" ht="15" customHeight="1" x14ac:dyDescent="0.2">
      <c r="B7" s="29" t="s">
        <v>17</v>
      </c>
      <c r="C7" s="30">
        <v>40000</v>
      </c>
      <c r="D7" s="31">
        <v>439.6</v>
      </c>
      <c r="E7" s="38">
        <f>C7/C13</f>
        <v>0.14461315979754158</v>
      </c>
      <c r="F7" s="32" t="s">
        <v>53</v>
      </c>
    </row>
    <row r="8" spans="2:6" ht="15" customHeight="1" x14ac:dyDescent="0.2">
      <c r="B8" s="25" t="s">
        <v>18</v>
      </c>
      <c r="C8" s="26">
        <v>14000</v>
      </c>
      <c r="D8" s="27">
        <v>153.9</v>
      </c>
      <c r="E8" s="37">
        <f>C8/C13</f>
        <v>5.061460592913955E-2</v>
      </c>
      <c r="F8" s="28" t="s">
        <v>53</v>
      </c>
    </row>
    <row r="9" spans="2:6" ht="15" customHeight="1" x14ac:dyDescent="0.2">
      <c r="B9" s="29" t="s">
        <v>19</v>
      </c>
      <c r="C9" s="30">
        <v>30000</v>
      </c>
      <c r="D9" s="31">
        <v>329.7</v>
      </c>
      <c r="E9" s="38">
        <f>C9/C13</f>
        <v>0.10845986984815618</v>
      </c>
      <c r="F9" s="32" t="s">
        <v>53</v>
      </c>
    </row>
    <row r="10" spans="2:6" ht="15" customHeight="1" x14ac:dyDescent="0.2">
      <c r="B10" s="25" t="s">
        <v>20</v>
      </c>
      <c r="C10" s="26">
        <v>130000</v>
      </c>
      <c r="D10" s="27">
        <v>1428.6</v>
      </c>
      <c r="E10" s="37">
        <f>C10/C13</f>
        <v>0.46999276934201012</v>
      </c>
      <c r="F10" s="28" t="s">
        <v>53</v>
      </c>
    </row>
    <row r="11" spans="2:6" ht="15" customHeight="1" x14ac:dyDescent="0.2">
      <c r="B11" s="29" t="s">
        <v>21</v>
      </c>
      <c r="C11" s="30">
        <v>20000</v>
      </c>
      <c r="D11" s="31">
        <v>219.8</v>
      </c>
      <c r="E11" s="38">
        <f>C11/C13</f>
        <v>7.230657989877079E-2</v>
      </c>
      <c r="F11" s="32" t="s">
        <v>53</v>
      </c>
    </row>
    <row r="12" spans="2:6" ht="15" customHeight="1" x14ac:dyDescent="0.2">
      <c r="B12" s="25" t="s">
        <v>22</v>
      </c>
      <c r="C12" s="26">
        <v>20000</v>
      </c>
      <c r="D12" s="27">
        <v>219.8</v>
      </c>
      <c r="E12" s="37">
        <f>C12/C13</f>
        <v>7.230657989877079E-2</v>
      </c>
      <c r="F12" s="28" t="s">
        <v>53</v>
      </c>
    </row>
    <row r="13" spans="2:6" ht="15" customHeight="1" x14ac:dyDescent="0.2">
      <c r="B13" s="33" t="s">
        <v>54</v>
      </c>
      <c r="C13" s="34">
        <f>SUM(C6:C12)</f>
        <v>276600</v>
      </c>
      <c r="D13" s="35">
        <f>SUM(D6:D12)</f>
        <v>3039.8</v>
      </c>
    </row>
    <row r="39" spans="2:4" ht="15" customHeight="1" x14ac:dyDescent="0.2">
      <c r="B39" s="40" t="s">
        <v>56</v>
      </c>
      <c r="C39" s="41" t="s">
        <v>34</v>
      </c>
      <c r="D39" s="41" t="s">
        <v>35</v>
      </c>
    </row>
    <row r="40" spans="2:4" ht="18" customHeight="1" x14ac:dyDescent="0.2">
      <c r="B40" s="5" t="s">
        <v>57</v>
      </c>
      <c r="C40" s="6">
        <v>5300</v>
      </c>
      <c r="D40" s="42">
        <v>58.2</v>
      </c>
    </row>
    <row r="41" spans="2:4" ht="18" customHeight="1" x14ac:dyDescent="0.2">
      <c r="B41" s="8" t="s">
        <v>58</v>
      </c>
      <c r="C41" s="9">
        <v>5300</v>
      </c>
      <c r="D41" s="43">
        <v>58.2</v>
      </c>
    </row>
    <row r="42" spans="2:4" ht="18" customHeight="1" x14ac:dyDescent="0.2">
      <c r="B42" s="5" t="s">
        <v>59</v>
      </c>
      <c r="C42" s="6">
        <v>500</v>
      </c>
      <c r="D42" s="42">
        <v>5.5</v>
      </c>
    </row>
    <row r="43" spans="2:4" ht="18" customHeight="1" x14ac:dyDescent="0.2">
      <c r="B43" s="8" t="s">
        <v>60</v>
      </c>
      <c r="C43" s="9">
        <v>1500</v>
      </c>
      <c r="D43" s="43">
        <v>16.5</v>
      </c>
    </row>
    <row r="44" spans="2:4" ht="18" customHeight="1" x14ac:dyDescent="0.2">
      <c r="B44" s="5" t="s">
        <v>61</v>
      </c>
      <c r="C44" s="6">
        <v>1000</v>
      </c>
      <c r="D44" s="42">
        <v>11</v>
      </c>
    </row>
    <row r="45" spans="2:4" ht="18" customHeight="1" x14ac:dyDescent="0.2">
      <c r="B45" s="8" t="s">
        <v>62</v>
      </c>
      <c r="C45" s="9">
        <v>2000</v>
      </c>
      <c r="D45" s="43">
        <v>22</v>
      </c>
    </row>
    <row r="46" spans="2:4" ht="18" customHeight="1" x14ac:dyDescent="0.2">
      <c r="B46" s="5" t="s">
        <v>63</v>
      </c>
      <c r="C46" s="6">
        <v>2000</v>
      </c>
      <c r="D46" s="42">
        <v>22</v>
      </c>
    </row>
    <row r="47" spans="2:4" ht="18" customHeight="1" x14ac:dyDescent="0.2">
      <c r="B47" s="8" t="s">
        <v>64</v>
      </c>
      <c r="C47" s="9">
        <v>3000</v>
      </c>
      <c r="D47" s="43">
        <v>33</v>
      </c>
    </row>
    <row r="48" spans="2:4" ht="18" customHeight="1" x14ac:dyDescent="0.2">
      <c r="B48" s="5" t="s">
        <v>65</v>
      </c>
      <c r="C48" s="6">
        <v>2000</v>
      </c>
      <c r="D48" s="42">
        <v>22</v>
      </c>
    </row>
    <row r="49" spans="2:4" ht="15" customHeight="1" x14ac:dyDescent="0.2">
      <c r="B49" s="33" t="s">
        <v>66</v>
      </c>
      <c r="C49" s="34">
        <f>SUM(C40:C48)</f>
        <v>22600</v>
      </c>
      <c r="D49" s="35">
        <f>SUM(D40:D48)</f>
        <v>248.4</v>
      </c>
    </row>
  </sheetData>
  <mergeCells count="2">
    <mergeCell ref="B2:F2"/>
    <mergeCell ref="B3:F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0B981"/>
  </sheetPr>
  <dimension ref="B2:F49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30" customWidth="1"/>
    <col min="3" max="4" width="16" customWidth="1"/>
    <col min="5" max="5" width="14" customWidth="1"/>
    <col min="6" max="6" width="20" customWidth="1"/>
  </cols>
  <sheetData>
    <row r="2" spans="2:6" ht="19.5" customHeight="1" x14ac:dyDescent="0.2">
      <c r="B2" s="3" t="s">
        <v>87</v>
      </c>
      <c r="C2" s="3"/>
      <c r="D2" s="3"/>
      <c r="E2" s="3"/>
      <c r="F2" s="3"/>
    </row>
    <row r="3" spans="2:6" ht="15" customHeight="1" x14ac:dyDescent="0.2">
      <c r="B3" s="2" t="s">
        <v>88</v>
      </c>
      <c r="C3" s="2"/>
      <c r="D3" s="2"/>
      <c r="E3" s="2"/>
      <c r="F3" s="2"/>
    </row>
    <row r="5" spans="2:6" ht="26.25" customHeight="1" x14ac:dyDescent="0.2">
      <c r="B5" s="36" t="s">
        <v>50</v>
      </c>
      <c r="C5" s="36" t="s">
        <v>34</v>
      </c>
      <c r="D5" s="36" t="s">
        <v>35</v>
      </c>
      <c r="E5" s="36" t="s">
        <v>51</v>
      </c>
      <c r="F5" s="36" t="s">
        <v>52</v>
      </c>
    </row>
    <row r="6" spans="2:6" ht="15" customHeight="1" x14ac:dyDescent="0.2">
      <c r="B6" s="25" t="s">
        <v>16</v>
      </c>
      <c r="C6" s="26">
        <v>22600</v>
      </c>
      <c r="D6" s="27">
        <v>248.4</v>
      </c>
      <c r="E6" s="37">
        <f>C6/C13</f>
        <v>8.4771192798199543E-2</v>
      </c>
      <c r="F6" s="28" t="s">
        <v>53</v>
      </c>
    </row>
    <row r="7" spans="2:6" ht="15" customHeight="1" x14ac:dyDescent="0.2">
      <c r="B7" s="29" t="s">
        <v>17</v>
      </c>
      <c r="C7" s="30">
        <v>40000</v>
      </c>
      <c r="D7" s="31">
        <v>439.6</v>
      </c>
      <c r="E7" s="38">
        <f>C7/C13</f>
        <v>0.15003750937734434</v>
      </c>
      <c r="F7" s="32" t="s">
        <v>53</v>
      </c>
    </row>
    <row r="8" spans="2:6" ht="15" customHeight="1" x14ac:dyDescent="0.2">
      <c r="B8" s="25" t="s">
        <v>18</v>
      </c>
      <c r="C8" s="26">
        <v>14000</v>
      </c>
      <c r="D8" s="27">
        <v>153.9</v>
      </c>
      <c r="E8" s="37">
        <f>C8/C13</f>
        <v>5.2513128282070519E-2</v>
      </c>
      <c r="F8" s="28" t="s">
        <v>53</v>
      </c>
    </row>
    <row r="9" spans="2:6" ht="15" customHeight="1" x14ac:dyDescent="0.2">
      <c r="B9" s="29" t="s">
        <v>19</v>
      </c>
      <c r="C9" s="30">
        <v>30000</v>
      </c>
      <c r="D9" s="31">
        <v>329.7</v>
      </c>
      <c r="E9" s="38">
        <f>C9/C13</f>
        <v>0.11252813203300825</v>
      </c>
      <c r="F9" s="32" t="s">
        <v>53</v>
      </c>
    </row>
    <row r="10" spans="2:6" ht="15" customHeight="1" x14ac:dyDescent="0.2">
      <c r="B10" s="25" t="s">
        <v>20</v>
      </c>
      <c r="C10" s="26">
        <v>120000</v>
      </c>
      <c r="D10" s="27">
        <v>1318.7</v>
      </c>
      <c r="E10" s="37">
        <f>C10/C13</f>
        <v>0.45011252813203301</v>
      </c>
      <c r="F10" s="28" t="s">
        <v>53</v>
      </c>
    </row>
    <row r="11" spans="2:6" ht="15" customHeight="1" x14ac:dyDescent="0.2">
      <c r="B11" s="29" t="s">
        <v>21</v>
      </c>
      <c r="C11" s="30">
        <v>20000</v>
      </c>
      <c r="D11" s="31">
        <v>219.8</v>
      </c>
      <c r="E11" s="38">
        <f>C11/C13</f>
        <v>7.5018754688672168E-2</v>
      </c>
      <c r="F11" s="32" t="s">
        <v>53</v>
      </c>
    </row>
    <row r="12" spans="2:6" ht="15" customHeight="1" x14ac:dyDescent="0.2">
      <c r="B12" s="25" t="s">
        <v>22</v>
      </c>
      <c r="C12" s="26">
        <v>20000</v>
      </c>
      <c r="D12" s="27">
        <v>219.8</v>
      </c>
      <c r="E12" s="37">
        <f>C12/C13</f>
        <v>7.5018754688672168E-2</v>
      </c>
      <c r="F12" s="28" t="s">
        <v>53</v>
      </c>
    </row>
    <row r="13" spans="2:6" ht="15" customHeight="1" x14ac:dyDescent="0.2">
      <c r="B13" s="33" t="s">
        <v>54</v>
      </c>
      <c r="C13" s="34">
        <f>SUM(C6:C12)</f>
        <v>266600</v>
      </c>
      <c r="D13" s="35">
        <f>SUM(D6:D12)</f>
        <v>2929.9000000000005</v>
      </c>
    </row>
    <row r="39" spans="2:4" ht="15" customHeight="1" x14ac:dyDescent="0.2">
      <c r="B39" s="40" t="s">
        <v>56</v>
      </c>
      <c r="C39" s="41" t="s">
        <v>34</v>
      </c>
      <c r="D39" s="41" t="s">
        <v>35</v>
      </c>
    </row>
    <row r="40" spans="2:4" ht="18" customHeight="1" x14ac:dyDescent="0.2">
      <c r="B40" s="5" t="s">
        <v>57</v>
      </c>
      <c r="C40" s="6">
        <v>5300</v>
      </c>
      <c r="D40" s="42">
        <v>58.2</v>
      </c>
    </row>
    <row r="41" spans="2:4" ht="18" customHeight="1" x14ac:dyDescent="0.2">
      <c r="B41" s="8" t="s">
        <v>58</v>
      </c>
      <c r="C41" s="9">
        <v>5300</v>
      </c>
      <c r="D41" s="43">
        <v>58.2</v>
      </c>
    </row>
    <row r="42" spans="2:4" ht="18" customHeight="1" x14ac:dyDescent="0.2">
      <c r="B42" s="5" t="s">
        <v>59</v>
      </c>
      <c r="C42" s="6">
        <v>500</v>
      </c>
      <c r="D42" s="42">
        <v>5.5</v>
      </c>
    </row>
    <row r="43" spans="2:4" ht="18" customHeight="1" x14ac:dyDescent="0.2">
      <c r="B43" s="8" t="s">
        <v>60</v>
      </c>
      <c r="C43" s="9">
        <v>1500</v>
      </c>
      <c r="D43" s="43">
        <v>16.5</v>
      </c>
    </row>
    <row r="44" spans="2:4" ht="18" customHeight="1" x14ac:dyDescent="0.2">
      <c r="B44" s="5" t="s">
        <v>61</v>
      </c>
      <c r="C44" s="6">
        <v>1000</v>
      </c>
      <c r="D44" s="42">
        <v>11</v>
      </c>
    </row>
    <row r="45" spans="2:4" ht="18" customHeight="1" x14ac:dyDescent="0.2">
      <c r="B45" s="8" t="s">
        <v>62</v>
      </c>
      <c r="C45" s="9">
        <v>2000</v>
      </c>
      <c r="D45" s="43">
        <v>22</v>
      </c>
    </row>
    <row r="46" spans="2:4" ht="18" customHeight="1" x14ac:dyDescent="0.2">
      <c r="B46" s="5" t="s">
        <v>63</v>
      </c>
      <c r="C46" s="6">
        <v>2000</v>
      </c>
      <c r="D46" s="42">
        <v>22</v>
      </c>
    </row>
    <row r="47" spans="2:4" ht="18" customHeight="1" x14ac:dyDescent="0.2">
      <c r="B47" s="8" t="s">
        <v>64</v>
      </c>
      <c r="C47" s="9">
        <v>3000</v>
      </c>
      <c r="D47" s="43">
        <v>33</v>
      </c>
    </row>
    <row r="48" spans="2:4" ht="18" customHeight="1" x14ac:dyDescent="0.2">
      <c r="B48" s="5" t="s">
        <v>65</v>
      </c>
      <c r="C48" s="6">
        <v>2000</v>
      </c>
      <c r="D48" s="42">
        <v>22</v>
      </c>
    </row>
    <row r="49" spans="2:4" ht="15" customHeight="1" x14ac:dyDescent="0.2">
      <c r="B49" s="33" t="s">
        <v>66</v>
      </c>
      <c r="C49" s="34">
        <f>SUM(C40:C48)</f>
        <v>22600</v>
      </c>
      <c r="D49" s="35">
        <f>SUM(D40:D48)</f>
        <v>248.4</v>
      </c>
    </row>
  </sheetData>
  <mergeCells count="2">
    <mergeCell ref="B2:F2"/>
    <mergeCell ref="B3:F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59E0B"/>
  </sheetPr>
  <dimension ref="B2:P12"/>
  <sheetViews>
    <sheetView showGridLines="0" topLeftCell="A2" zoomScaleNormal="100" workbookViewId="0">
      <selection activeCell="I58" sqref="I58"/>
    </sheetView>
  </sheetViews>
  <sheetFormatPr baseColWidth="10" defaultColWidth="8.6640625" defaultRowHeight="15" x14ac:dyDescent="0.2"/>
  <cols>
    <col min="1" max="1" width="3" customWidth="1"/>
    <col min="2" max="2" width="26" customWidth="1"/>
    <col min="3" max="15" width="16" customWidth="1"/>
    <col min="16" max="16" width="14" customWidth="1"/>
  </cols>
  <sheetData>
    <row r="2" spans="2:16" ht="19.5" customHeight="1" x14ac:dyDescent="0.2">
      <c r="B2" s="1" t="s">
        <v>89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4" spans="2:16" ht="15" customHeight="1" x14ac:dyDescent="0.2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90</v>
      </c>
    </row>
    <row r="5" spans="2:16" ht="15" customHeight="1" x14ac:dyDescent="0.2">
      <c r="B5" s="25" t="s">
        <v>16</v>
      </c>
      <c r="C5" s="6">
        <v>22600</v>
      </c>
      <c r="D5" s="6">
        <v>22600</v>
      </c>
      <c r="E5" s="6">
        <v>22600</v>
      </c>
      <c r="F5" s="6">
        <v>22600</v>
      </c>
      <c r="G5" s="6">
        <v>22600</v>
      </c>
      <c r="H5" s="6">
        <v>22600</v>
      </c>
      <c r="I5" s="6">
        <v>22600</v>
      </c>
      <c r="J5" s="6">
        <v>22600</v>
      </c>
      <c r="K5" s="6">
        <v>22600</v>
      </c>
      <c r="L5" s="6">
        <v>22600</v>
      </c>
      <c r="M5" s="6">
        <v>22600</v>
      </c>
      <c r="N5" s="6">
        <v>22600</v>
      </c>
      <c r="O5" s="34">
        <f t="shared" ref="O5:O11" si="0">SUM(C5:N5)</f>
        <v>271200</v>
      </c>
      <c r="P5" s="44">
        <f>O5/O12</f>
        <v>8.1706435285610987E-2</v>
      </c>
    </row>
    <row r="6" spans="2:16" ht="15" customHeight="1" x14ac:dyDescent="0.2">
      <c r="B6" s="29" t="s">
        <v>17</v>
      </c>
      <c r="C6" s="9">
        <v>40000</v>
      </c>
      <c r="D6" s="9">
        <v>40000</v>
      </c>
      <c r="E6" s="9">
        <v>40000</v>
      </c>
      <c r="F6" s="9">
        <v>40000</v>
      </c>
      <c r="G6" s="9">
        <v>40000</v>
      </c>
      <c r="H6" s="9">
        <v>40000</v>
      </c>
      <c r="I6" s="9">
        <v>40000</v>
      </c>
      <c r="J6" s="9">
        <v>40000</v>
      </c>
      <c r="K6" s="9">
        <v>40000</v>
      </c>
      <c r="L6" s="9">
        <v>40000</v>
      </c>
      <c r="M6" s="9">
        <v>40000</v>
      </c>
      <c r="N6" s="9">
        <v>40000</v>
      </c>
      <c r="O6" s="34">
        <f t="shared" si="0"/>
        <v>480000</v>
      </c>
      <c r="P6" s="44">
        <f>O6/O12</f>
        <v>0.14461315979754158</v>
      </c>
    </row>
    <row r="7" spans="2:16" ht="15" customHeight="1" x14ac:dyDescent="0.2">
      <c r="B7" s="25" t="s">
        <v>18</v>
      </c>
      <c r="C7" s="6">
        <v>14000</v>
      </c>
      <c r="D7" s="6">
        <v>14000</v>
      </c>
      <c r="E7" s="6">
        <v>14000</v>
      </c>
      <c r="F7" s="6">
        <v>14000</v>
      </c>
      <c r="G7" s="6">
        <v>14000</v>
      </c>
      <c r="H7" s="6">
        <v>14000</v>
      </c>
      <c r="I7" s="6">
        <v>14000</v>
      </c>
      <c r="J7" s="6">
        <v>14000</v>
      </c>
      <c r="K7" s="6">
        <v>14000</v>
      </c>
      <c r="L7" s="6">
        <v>14000</v>
      </c>
      <c r="M7" s="6">
        <v>14000</v>
      </c>
      <c r="N7" s="6">
        <v>14000</v>
      </c>
      <c r="O7" s="34">
        <f t="shared" si="0"/>
        <v>168000</v>
      </c>
      <c r="P7" s="44">
        <f>O7/O12</f>
        <v>5.061460592913955E-2</v>
      </c>
    </row>
    <row r="8" spans="2:16" ht="15" customHeight="1" x14ac:dyDescent="0.2">
      <c r="B8" s="29" t="s">
        <v>19</v>
      </c>
      <c r="C8" s="9">
        <v>30000</v>
      </c>
      <c r="D8" s="9">
        <v>30000</v>
      </c>
      <c r="E8" s="9">
        <v>30000</v>
      </c>
      <c r="F8" s="9">
        <v>30000</v>
      </c>
      <c r="G8" s="9">
        <v>30000</v>
      </c>
      <c r="H8" s="9">
        <v>30000</v>
      </c>
      <c r="I8" s="9">
        <v>30000</v>
      </c>
      <c r="J8" s="9">
        <v>30000</v>
      </c>
      <c r="K8" s="9">
        <v>30000</v>
      </c>
      <c r="L8" s="9">
        <v>30000</v>
      </c>
      <c r="M8" s="9">
        <v>30000</v>
      </c>
      <c r="N8" s="9">
        <v>30000</v>
      </c>
      <c r="O8" s="34">
        <f t="shared" si="0"/>
        <v>360000</v>
      </c>
      <c r="P8" s="44">
        <f>O8/O12</f>
        <v>0.10845986984815618</v>
      </c>
    </row>
    <row r="9" spans="2:16" ht="15" customHeight="1" x14ac:dyDescent="0.2">
      <c r="B9" s="25" t="s">
        <v>20</v>
      </c>
      <c r="C9" s="6">
        <v>180000</v>
      </c>
      <c r="D9" s="6">
        <v>130000</v>
      </c>
      <c r="E9" s="6">
        <v>150000</v>
      </c>
      <c r="F9" s="6">
        <v>110000</v>
      </c>
      <c r="G9" s="6">
        <v>115000</v>
      </c>
      <c r="H9" s="6">
        <v>105000</v>
      </c>
      <c r="I9" s="6">
        <v>100000</v>
      </c>
      <c r="J9" s="6">
        <v>130000</v>
      </c>
      <c r="K9" s="6">
        <v>140000</v>
      </c>
      <c r="L9" s="6">
        <v>150000</v>
      </c>
      <c r="M9" s="6">
        <v>130000</v>
      </c>
      <c r="N9" s="6">
        <v>120000</v>
      </c>
      <c r="O9" s="34">
        <f t="shared" si="0"/>
        <v>1560000</v>
      </c>
      <c r="P9" s="44">
        <f>O9/O12</f>
        <v>0.46999276934201012</v>
      </c>
    </row>
    <row r="10" spans="2:16" ht="15" customHeight="1" x14ac:dyDescent="0.2">
      <c r="B10" s="29" t="s">
        <v>21</v>
      </c>
      <c r="C10" s="9">
        <v>20000</v>
      </c>
      <c r="D10" s="9">
        <v>20000</v>
      </c>
      <c r="E10" s="9">
        <v>20000</v>
      </c>
      <c r="F10" s="9">
        <v>20000</v>
      </c>
      <c r="G10" s="9">
        <v>20000</v>
      </c>
      <c r="H10" s="9">
        <v>20000</v>
      </c>
      <c r="I10" s="9">
        <v>20000</v>
      </c>
      <c r="J10" s="9">
        <v>20000</v>
      </c>
      <c r="K10" s="9">
        <v>20000</v>
      </c>
      <c r="L10" s="9">
        <v>20000</v>
      </c>
      <c r="M10" s="9">
        <v>20000</v>
      </c>
      <c r="N10" s="9">
        <v>20000</v>
      </c>
      <c r="O10" s="34">
        <f t="shared" si="0"/>
        <v>240000</v>
      </c>
      <c r="P10" s="44">
        <f>O10/O12</f>
        <v>7.230657989877079E-2</v>
      </c>
    </row>
    <row r="11" spans="2:16" ht="15" customHeight="1" x14ac:dyDescent="0.2">
      <c r="B11" s="25" t="s">
        <v>22</v>
      </c>
      <c r="C11" s="6">
        <v>20000</v>
      </c>
      <c r="D11" s="6">
        <v>20000</v>
      </c>
      <c r="E11" s="6">
        <v>20000</v>
      </c>
      <c r="F11" s="6">
        <v>20000</v>
      </c>
      <c r="G11" s="6">
        <v>20000</v>
      </c>
      <c r="H11" s="6">
        <v>20000</v>
      </c>
      <c r="I11" s="6">
        <v>20000</v>
      </c>
      <c r="J11" s="6">
        <v>20000</v>
      </c>
      <c r="K11" s="6">
        <v>20000</v>
      </c>
      <c r="L11" s="6">
        <v>20000</v>
      </c>
      <c r="M11" s="6">
        <v>20000</v>
      </c>
      <c r="N11" s="6">
        <v>20000</v>
      </c>
      <c r="O11" s="34">
        <f t="shared" si="0"/>
        <v>240000</v>
      </c>
      <c r="P11" s="44">
        <f>O11/O12</f>
        <v>7.230657989877079E-2</v>
      </c>
    </row>
    <row r="12" spans="2:16" ht="15" customHeight="1" x14ac:dyDescent="0.2">
      <c r="B12" s="15" t="s">
        <v>91</v>
      </c>
      <c r="C12" s="16">
        <f t="shared" ref="C12:O12" si="1">SUM(C5:C11)</f>
        <v>326600</v>
      </c>
      <c r="D12" s="16">
        <f t="shared" si="1"/>
        <v>276600</v>
      </c>
      <c r="E12" s="16">
        <f t="shared" si="1"/>
        <v>296600</v>
      </c>
      <c r="F12" s="16">
        <f t="shared" si="1"/>
        <v>256600</v>
      </c>
      <c r="G12" s="16">
        <f t="shared" si="1"/>
        <v>261600</v>
      </c>
      <c r="H12" s="16">
        <f t="shared" si="1"/>
        <v>251600</v>
      </c>
      <c r="I12" s="16">
        <f t="shared" si="1"/>
        <v>246600</v>
      </c>
      <c r="J12" s="16">
        <f t="shared" si="1"/>
        <v>276600</v>
      </c>
      <c r="K12" s="16">
        <f t="shared" si="1"/>
        <v>286600</v>
      </c>
      <c r="L12" s="16">
        <f t="shared" si="1"/>
        <v>296600</v>
      </c>
      <c r="M12" s="16">
        <f t="shared" si="1"/>
        <v>276600</v>
      </c>
      <c r="N12" s="16">
        <f t="shared" si="1"/>
        <v>266600</v>
      </c>
      <c r="O12" s="16">
        <f t="shared" si="1"/>
        <v>3319200</v>
      </c>
    </row>
  </sheetData>
  <mergeCells count="1">
    <mergeCell ref="B2:P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8B5CF6"/>
  </sheetPr>
  <dimension ref="B2:F15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35" customWidth="1"/>
    <col min="3" max="4" width="16" customWidth="1"/>
    <col min="5" max="5" width="14" customWidth="1"/>
    <col min="6" max="6" width="20" customWidth="1"/>
  </cols>
  <sheetData>
    <row r="2" spans="2:6" ht="19.5" customHeight="1" x14ac:dyDescent="0.2">
      <c r="B2" s="1" t="s">
        <v>92</v>
      </c>
      <c r="C2" s="1"/>
      <c r="D2" s="1"/>
      <c r="E2" s="1"/>
      <c r="F2" s="1"/>
    </row>
    <row r="4" spans="2:6" ht="15" customHeight="1" x14ac:dyDescent="0.2">
      <c r="B4" s="4" t="s">
        <v>93</v>
      </c>
      <c r="C4" s="4" t="s">
        <v>34</v>
      </c>
      <c r="D4" s="4" t="s">
        <v>35</v>
      </c>
      <c r="E4" s="4" t="s">
        <v>94</v>
      </c>
      <c r="F4" s="4" t="s">
        <v>2</v>
      </c>
    </row>
    <row r="5" spans="2:6" ht="15" customHeight="1" x14ac:dyDescent="0.2">
      <c r="B5" s="25" t="s">
        <v>38</v>
      </c>
      <c r="C5" s="26">
        <v>590000</v>
      </c>
      <c r="D5" s="27">
        <v>6483.52</v>
      </c>
      <c r="E5" s="37">
        <v>0.66366704161979795</v>
      </c>
      <c r="F5" s="28" t="s">
        <v>95</v>
      </c>
    </row>
    <row r="6" spans="2:6" ht="15" customHeight="1" x14ac:dyDescent="0.2">
      <c r="B6" s="29" t="s">
        <v>40</v>
      </c>
      <c r="C6" s="30">
        <v>20000</v>
      </c>
      <c r="D6" s="31">
        <v>219.78</v>
      </c>
      <c r="E6" s="38">
        <v>2.2497187851518601E-2</v>
      </c>
      <c r="F6" s="32" t="s">
        <v>95</v>
      </c>
    </row>
    <row r="7" spans="2:6" ht="15" customHeight="1" x14ac:dyDescent="0.2">
      <c r="B7" s="25" t="s">
        <v>41</v>
      </c>
      <c r="C7" s="26">
        <v>62000</v>
      </c>
      <c r="D7" s="27">
        <v>681.32</v>
      </c>
      <c r="E7" s="37">
        <v>6.97412823397075E-2</v>
      </c>
      <c r="F7" s="28" t="s">
        <v>96</v>
      </c>
    </row>
    <row r="8" spans="2:6" ht="15" customHeight="1" x14ac:dyDescent="0.2">
      <c r="B8" s="29" t="s">
        <v>42</v>
      </c>
      <c r="C8" s="30">
        <v>80000</v>
      </c>
      <c r="D8" s="31">
        <v>879.12</v>
      </c>
      <c r="E8" s="38">
        <v>8.9988751406074194E-2</v>
      </c>
      <c r="F8" s="32" t="s">
        <v>96</v>
      </c>
    </row>
    <row r="9" spans="2:6" ht="15" customHeight="1" x14ac:dyDescent="0.2">
      <c r="B9" s="25" t="s">
        <v>43</v>
      </c>
      <c r="C9" s="26">
        <v>10000</v>
      </c>
      <c r="D9" s="27">
        <v>109.89</v>
      </c>
      <c r="E9" s="37">
        <v>1.12485939257593E-2</v>
      </c>
      <c r="F9" s="28" t="s">
        <v>96</v>
      </c>
    </row>
    <row r="10" spans="2:6" ht="15" customHeight="1" x14ac:dyDescent="0.2">
      <c r="B10" s="29" t="s">
        <v>44</v>
      </c>
      <c r="C10" s="30">
        <v>10000</v>
      </c>
      <c r="D10" s="31">
        <v>109.89</v>
      </c>
      <c r="E10" s="38">
        <v>1.12485939257593E-2</v>
      </c>
      <c r="F10" s="32" t="s">
        <v>96</v>
      </c>
    </row>
    <row r="11" spans="2:6" ht="15" customHeight="1" x14ac:dyDescent="0.2">
      <c r="B11" s="25" t="s">
        <v>45</v>
      </c>
      <c r="C11" s="26">
        <v>10000</v>
      </c>
      <c r="D11" s="27">
        <v>109.89</v>
      </c>
      <c r="E11" s="37">
        <v>1.12485939257593E-2</v>
      </c>
      <c r="F11" s="28" t="s">
        <v>96</v>
      </c>
    </row>
    <row r="12" spans="2:6" ht="15" customHeight="1" x14ac:dyDescent="0.2">
      <c r="B12" s="29" t="s">
        <v>46</v>
      </c>
      <c r="C12" s="30">
        <v>20000</v>
      </c>
      <c r="D12" s="31">
        <v>219.78</v>
      </c>
      <c r="E12" s="38">
        <v>2.2497187851518601E-2</v>
      </c>
      <c r="F12" s="32" t="s">
        <v>96</v>
      </c>
    </row>
    <row r="13" spans="2:6" ht="15" customHeight="1" x14ac:dyDescent="0.2">
      <c r="B13" s="25" t="s">
        <v>47</v>
      </c>
      <c r="C13" s="26">
        <v>80000</v>
      </c>
      <c r="D13" s="27">
        <v>879.12</v>
      </c>
      <c r="E13" s="37">
        <v>8.9988751406074194E-2</v>
      </c>
      <c r="F13" s="28" t="s">
        <v>97</v>
      </c>
    </row>
    <row r="14" spans="2:6" ht="15" customHeight="1" x14ac:dyDescent="0.2">
      <c r="B14" s="29" t="s">
        <v>48</v>
      </c>
      <c r="C14" s="30">
        <v>7000</v>
      </c>
      <c r="D14" s="31">
        <v>76.92</v>
      </c>
      <c r="E14" s="38">
        <v>7.8740157480314994E-3</v>
      </c>
      <c r="F14" s="32" t="s">
        <v>98</v>
      </c>
    </row>
    <row r="15" spans="2:6" ht="15" customHeight="1" x14ac:dyDescent="0.2">
      <c r="B15" s="15" t="s">
        <v>99</v>
      </c>
      <c r="C15" s="16">
        <v>889000</v>
      </c>
      <c r="D15" s="39">
        <v>9769.23</v>
      </c>
    </row>
  </sheetData>
  <mergeCells count="1">
    <mergeCell ref="B2:F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EF4444"/>
  </sheetPr>
  <dimension ref="B2:F17"/>
  <sheetViews>
    <sheetView showGridLines="0" topLeftCell="A24" zoomScaleNormal="100" workbookViewId="0">
      <selection activeCell="N48" sqref="N48"/>
    </sheetView>
  </sheetViews>
  <sheetFormatPr baseColWidth="10" defaultColWidth="8.6640625" defaultRowHeight="15" x14ac:dyDescent="0.2"/>
  <cols>
    <col min="1" max="1" width="3" customWidth="1"/>
    <col min="2" max="2" width="22" customWidth="1"/>
    <col min="3" max="6" width="18" customWidth="1"/>
  </cols>
  <sheetData>
    <row r="2" spans="2:6" ht="19.5" customHeight="1" x14ac:dyDescent="0.2">
      <c r="B2" s="1" t="s">
        <v>100</v>
      </c>
      <c r="C2" s="1"/>
      <c r="D2" s="1"/>
      <c r="E2" s="1"/>
      <c r="F2" s="1"/>
    </row>
    <row r="3" spans="2:6" ht="15" customHeight="1" x14ac:dyDescent="0.2">
      <c r="E3" s="19" t="s">
        <v>101</v>
      </c>
      <c r="F3" s="20">
        <v>13700000</v>
      </c>
    </row>
    <row r="4" spans="2:6" ht="26.25" customHeight="1" x14ac:dyDescent="0.2">
      <c r="B4" s="4" t="s">
        <v>102</v>
      </c>
      <c r="C4" s="4" t="s">
        <v>103</v>
      </c>
      <c r="D4" s="4" t="s">
        <v>104</v>
      </c>
      <c r="E4" s="4" t="s">
        <v>105</v>
      </c>
      <c r="F4" s="4" t="s">
        <v>106</v>
      </c>
    </row>
    <row r="5" spans="2:6" ht="15" customHeight="1" x14ac:dyDescent="0.2">
      <c r="B5" s="25" t="s">
        <v>107</v>
      </c>
      <c r="C5" s="26">
        <v>1215600</v>
      </c>
      <c r="D5" s="26">
        <f>C5</f>
        <v>1215600</v>
      </c>
      <c r="E5" s="26">
        <f>F3-D5</f>
        <v>12484400</v>
      </c>
      <c r="F5" s="37">
        <f>D5/F3</f>
        <v>8.8729927007299272E-2</v>
      </c>
    </row>
    <row r="6" spans="2:6" ht="15" customHeight="1" x14ac:dyDescent="0.2">
      <c r="B6" s="29" t="s">
        <v>108</v>
      </c>
      <c r="C6" s="30">
        <v>276600</v>
      </c>
      <c r="D6" s="30">
        <f t="shared" ref="D6:D16" si="0">D5+C6</f>
        <v>1492200</v>
      </c>
      <c r="E6" s="30">
        <f>F3-D6</f>
        <v>12207800</v>
      </c>
      <c r="F6" s="38">
        <f>D6/F3</f>
        <v>0.10891970802919708</v>
      </c>
    </row>
    <row r="7" spans="2:6" ht="15" customHeight="1" x14ac:dyDescent="0.2">
      <c r="B7" s="25" t="s">
        <v>109</v>
      </c>
      <c r="C7" s="26">
        <v>296600</v>
      </c>
      <c r="D7" s="26">
        <f t="shared" si="0"/>
        <v>1788800</v>
      </c>
      <c r="E7" s="26">
        <f>F3-D7</f>
        <v>11911200</v>
      </c>
      <c r="F7" s="37">
        <f>D7/F3</f>
        <v>0.13056934306569343</v>
      </c>
    </row>
    <row r="8" spans="2:6" ht="15" customHeight="1" x14ac:dyDescent="0.2">
      <c r="B8" s="29" t="s">
        <v>110</v>
      </c>
      <c r="C8" s="30">
        <v>256600</v>
      </c>
      <c r="D8" s="30">
        <f t="shared" si="0"/>
        <v>2045400</v>
      </c>
      <c r="E8" s="30">
        <f>F3-D8</f>
        <v>11654600</v>
      </c>
      <c r="F8" s="38">
        <f>D8/F3</f>
        <v>0.14929927007299271</v>
      </c>
    </row>
    <row r="9" spans="2:6" ht="15" customHeight="1" x14ac:dyDescent="0.2">
      <c r="B9" s="25" t="s">
        <v>111</v>
      </c>
      <c r="C9" s="26">
        <v>261600</v>
      </c>
      <c r="D9" s="26">
        <f t="shared" si="0"/>
        <v>2307000</v>
      </c>
      <c r="E9" s="26">
        <f>F3-D9</f>
        <v>11393000</v>
      </c>
      <c r="F9" s="37">
        <f>D9/F3</f>
        <v>0.1683941605839416</v>
      </c>
    </row>
    <row r="10" spans="2:6" ht="15" customHeight="1" x14ac:dyDescent="0.2">
      <c r="B10" s="29" t="s">
        <v>112</v>
      </c>
      <c r="C10" s="30">
        <v>251600</v>
      </c>
      <c r="D10" s="30">
        <f t="shared" si="0"/>
        <v>2558600</v>
      </c>
      <c r="E10" s="30">
        <f>F3-D10</f>
        <v>11141400</v>
      </c>
      <c r="F10" s="38">
        <f>D10/F3</f>
        <v>0.18675912408759124</v>
      </c>
    </row>
    <row r="11" spans="2:6" ht="15" customHeight="1" x14ac:dyDescent="0.2">
      <c r="B11" s="25" t="s">
        <v>113</v>
      </c>
      <c r="C11" s="26">
        <v>246600</v>
      </c>
      <c r="D11" s="26">
        <f t="shared" si="0"/>
        <v>2805200</v>
      </c>
      <c r="E11" s="26">
        <f>F3-D11</f>
        <v>10894800</v>
      </c>
      <c r="F11" s="37">
        <f>D11/F3</f>
        <v>0.20475912408759125</v>
      </c>
    </row>
    <row r="12" spans="2:6" ht="15" customHeight="1" x14ac:dyDescent="0.2">
      <c r="B12" s="29" t="s">
        <v>114</v>
      </c>
      <c r="C12" s="30">
        <v>276600</v>
      </c>
      <c r="D12" s="30">
        <f t="shared" si="0"/>
        <v>3081800</v>
      </c>
      <c r="E12" s="30">
        <f>F3-D12</f>
        <v>10618200</v>
      </c>
      <c r="F12" s="38">
        <f>D12/F3</f>
        <v>0.22494890510948906</v>
      </c>
    </row>
    <row r="13" spans="2:6" ht="15" customHeight="1" x14ac:dyDescent="0.2">
      <c r="B13" s="25" t="s">
        <v>115</v>
      </c>
      <c r="C13" s="26">
        <v>286600</v>
      </c>
      <c r="D13" s="26">
        <f t="shared" si="0"/>
        <v>3368400</v>
      </c>
      <c r="E13" s="26">
        <f>F3-D13</f>
        <v>10331600</v>
      </c>
      <c r="F13" s="37">
        <f>D13/F3</f>
        <v>0.24586861313868613</v>
      </c>
    </row>
    <row r="14" spans="2:6" ht="15" customHeight="1" x14ac:dyDescent="0.2">
      <c r="B14" s="29" t="s">
        <v>116</v>
      </c>
      <c r="C14" s="30">
        <v>296600</v>
      </c>
      <c r="D14" s="30">
        <f t="shared" si="0"/>
        <v>3665000</v>
      </c>
      <c r="E14" s="30">
        <f>F3-D14</f>
        <v>10035000</v>
      </c>
      <c r="F14" s="38">
        <f>D14/F3</f>
        <v>0.26751824817518249</v>
      </c>
    </row>
    <row r="15" spans="2:6" ht="15" customHeight="1" x14ac:dyDescent="0.2">
      <c r="B15" s="25" t="s">
        <v>117</v>
      </c>
      <c r="C15" s="26">
        <v>276600</v>
      </c>
      <c r="D15" s="26">
        <f t="shared" si="0"/>
        <v>3941600</v>
      </c>
      <c r="E15" s="26">
        <f>F3-D15</f>
        <v>9758400</v>
      </c>
      <c r="F15" s="37">
        <f>D15/F3</f>
        <v>0.28770802919708027</v>
      </c>
    </row>
    <row r="16" spans="2:6" ht="15" customHeight="1" x14ac:dyDescent="0.2">
      <c r="B16" s="29" t="s">
        <v>118</v>
      </c>
      <c r="C16" s="30">
        <v>266600</v>
      </c>
      <c r="D16" s="30">
        <f t="shared" si="0"/>
        <v>4208200</v>
      </c>
      <c r="E16" s="30">
        <f>F3-D16</f>
        <v>9491800</v>
      </c>
      <c r="F16" s="38">
        <f>D16/F3</f>
        <v>0.30716788321167882</v>
      </c>
    </row>
    <row r="17" spans="2:3" ht="15" customHeight="1" x14ac:dyDescent="0.2">
      <c r="B17" s="15" t="s">
        <v>119</v>
      </c>
      <c r="C17" s="16">
        <f>SUM(C5:C16)</f>
        <v>4208200</v>
      </c>
    </row>
  </sheetData>
  <mergeCells count="1">
    <mergeCell ref="B2:F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Executive Summary</vt:lpstr>
      <vt:lpstr>Jan 2026</vt:lpstr>
      <vt:lpstr>Feb 2026</vt:lpstr>
      <vt:lpstr>Mar 2026</vt:lpstr>
      <vt:lpstr>Apr 2026</vt:lpstr>
      <vt:lpstr>May 2026</vt:lpstr>
      <vt:lpstr>Jun 2026</vt:lpstr>
      <vt:lpstr>Jul 2026</vt:lpstr>
      <vt:lpstr>Aug 2026</vt:lpstr>
      <vt:lpstr>Sep 2026</vt:lpstr>
      <vt:lpstr>Oct 2026</vt:lpstr>
      <vt:lpstr>Nov 2026</vt:lpstr>
      <vt:lpstr>Dec 2026</vt:lpstr>
      <vt:lpstr>Category Allocation</vt:lpstr>
      <vt:lpstr>CAPEX Detail</vt:lpstr>
      <vt:lpstr>Burn Rate &amp; Runway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Inderjeet Bandwal</cp:lastModifiedBy>
  <cp:revision>5</cp:revision>
  <dcterms:created xsi:type="dcterms:W3CDTF">2026-04-06T08:03:35Z</dcterms:created>
  <dcterms:modified xsi:type="dcterms:W3CDTF">2026-04-06T10:17:54Z</dcterms:modified>
  <dc:language>en-US</dc:language>
</cp:coreProperties>
</file>